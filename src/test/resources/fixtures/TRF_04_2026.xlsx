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olidation" r:id="rId3" sheetId="1"/>
    <sheet name="Feuil1" r:id="rId4" sheetId="2"/>
    <sheet name="TRF" r:id="rId5" sheetId="3"/>
    <sheet name="Feuil3" r:id="rId6" sheetId="4"/>
  </sheets>
</workbook>
</file>

<file path=xl/sharedStrings.xml><?xml version="1.0" encoding="utf-8"?>
<sst xmlns="http://schemas.openxmlformats.org/spreadsheetml/2006/main" count="230" uniqueCount="104">
  <si>
    <t>CLIENT</t>
  </si>
  <si>
    <t>NBRE</t>
  </si>
  <si>
    <t>V/REF</t>
  </si>
  <si>
    <t>REMIS LE</t>
  </si>
  <si>
    <t>ANCIENNETE</t>
  </si>
  <si>
    <t>N/REF</t>
  </si>
  <si>
    <t>DEBITEUR</t>
  </si>
  <si>
    <t>CREANCE PRINCIPALE</t>
  </si>
  <si>
    <t>RECOUVRE ET FACTURE</t>
  </si>
  <si>
    <t>ETAT</t>
  </si>
  <si>
    <t>CLOTURE</t>
  </si>
  <si>
    <t>PENALITES</t>
  </si>
  <si>
    <t>Extratction du départements de la colonne E</t>
  </si>
  <si>
    <t>Transformation de la colonne L en nombre</t>
  </si>
  <si>
    <t>CONDITION de calcul de formule 2 :France ou 1 :Export</t>
  </si>
  <si>
    <t>DONT EN ATTENTE DE FACTURATION</t>
  </si>
  <si>
    <t>Lieu</t>
  </si>
  <si>
    <t>Frais de procédure</t>
  </si>
  <si>
    <t>Recouvré total</t>
  </si>
  <si>
    <t>Déjà facturé</t>
  </si>
  <si>
    <t>Depuis le début</t>
  </si>
  <si>
    <t>Commissions</t>
  </si>
  <si>
    <t>Pénalits</t>
  </si>
  <si>
    <t>SOMMES CZ PHENIX</t>
  </si>
  <si>
    <t>MONTANT A FACTURER TTC</t>
  </si>
  <si>
    <t>SOMMES A REVERSER</t>
  </si>
  <si>
    <t>ARX IT</t>
  </si>
  <si>
    <t>PREFECTURE DE POLICE DE PARIS</t>
  </si>
  <si>
    <t>Gestion en cours</t>
  </si>
  <si>
    <t>CL</t>
  </si>
  <si>
    <t>€   - 0</t>
  </si>
  <si>
    <t>- 0 €</t>
  </si>
  <si>
    <t>Total ARX IT</t>
  </si>
  <si>
    <t>AVIGROS</t>
  </si>
  <si>
    <t>940171/028475</t>
  </si>
  <si>
    <t>OB VIANDE</t>
  </si>
  <si>
    <t>940117/052094</t>
  </si>
  <si>
    <t>POLO</t>
  </si>
  <si>
    <t>0,00 €</t>
  </si>
  <si>
    <t>Soldé</t>
  </si>
  <si>
    <t>940117/052193</t>
  </si>
  <si>
    <t>A.B.Z - BOUCHERIE ABZ</t>
  </si>
  <si>
    <t>Total AVIGROS</t>
  </si>
  <si>
    <t>BECK EXPORT AUTOMOBILE</t>
  </si>
  <si>
    <t>95AUTO3</t>
  </si>
  <si>
    <t>C59049/000593</t>
  </si>
  <si>
    <t>AUTO PIECES BLANC MESNIL</t>
  </si>
  <si>
    <t>IRR PSA.Dissolution le 22.09.2022.</t>
  </si>
  <si>
    <t>OUI</t>
  </si>
  <si>
    <t>93TOPGAR_1</t>
  </si>
  <si>
    <t>C59049/000177_1</t>
  </si>
  <si>
    <t>TOP GARAGE Pénalités</t>
  </si>
  <si>
    <t>_1</t>
  </si>
  <si>
    <t>AG</t>
  </si>
  <si>
    <t>Total BECK EXPORT AUTOMOBILE</t>
  </si>
  <si>
    <t>COM 2000</t>
  </si>
  <si>
    <t>FA223243</t>
  </si>
  <si>
    <t>FLAMBOYANT</t>
  </si>
  <si>
    <t>FA240336</t>
  </si>
  <si>
    <t>LILIARM'OR</t>
  </si>
  <si>
    <t>FA220656</t>
  </si>
  <si>
    <t>LASEROTHERAPIE 68</t>
  </si>
  <si>
    <t>NA</t>
  </si>
  <si>
    <t>FA250256</t>
  </si>
  <si>
    <t>J.N.R ETANCHEITER</t>
  </si>
  <si>
    <t>FA242533</t>
  </si>
  <si>
    <t>MD PEINTURE</t>
  </si>
  <si>
    <t>Total COM 2000</t>
  </si>
  <si>
    <t>FT TRADING</t>
  </si>
  <si>
    <t>108, Avenue Gallieni</t>
  </si>
  <si>
    <t>93140 BONDY</t>
  </si>
  <si>
    <t>ALFA FOOD FACTORY</t>
  </si>
  <si>
    <t>Total FT TRADING</t>
  </si>
  <si>
    <t>770009</t>
  </si>
  <si>
    <t>940171</t>
  </si>
  <si>
    <t>C75143</t>
  </si>
  <si>
    <t>C95049</t>
  </si>
  <si>
    <t>D93112</t>
  </si>
  <si>
    <t>TOTAUX</t>
  </si>
  <si>
    <t/>
  </si>
  <si>
    <t>CLIENTS EN FACTURATION 04/26</t>
  </si>
  <si>
    <t>ENCAISSEMENTS CZ PHENIX</t>
  </si>
  <si>
    <t>NOUS DOIT précédemment</t>
  </si>
  <si>
    <t>NOUS DOIT MAINTENANT</t>
  </si>
  <si>
    <t>SOMMES A REVERSER AU FINAL</t>
  </si>
  <si>
    <t>ENCAISSEMENTS PAR COMPENSATION</t>
  </si>
  <si>
    <t>NOUS DOIT APRES FACTURATION</t>
  </si>
  <si>
    <t>ETAT DE COMPENSATIONS</t>
  </si>
  <si>
    <t>VIREMENTS</t>
  </si>
  <si>
    <t>CHEQUES</t>
  </si>
  <si>
    <t>CODE CLIENT</t>
  </si>
  <si>
    <t>Comp Vrt</t>
  </si>
  <si>
    <t>Comp partielle de 230,00, reste nous devoir 450,00</t>
  </si>
  <si>
    <t>VIREMENTS CLIENTS</t>
  </si>
  <si>
    <t>IBAN</t>
  </si>
  <si>
    <t>BIC</t>
  </si>
  <si>
    <t>MONTANT</t>
  </si>
  <si>
    <t>TOTAL VIREMENTS</t>
  </si>
  <si>
    <t>VIREMENTS MANUELLES</t>
  </si>
  <si>
    <t>TOTAL MANUELLES</t>
  </si>
  <si>
    <t>COMP PARTIELLE</t>
  </si>
  <si>
    <t>COMP APPLIQUÉE</t>
  </si>
  <si>
    <t>RESTE NOUS DEVOIR</t>
  </si>
  <si>
    <t>TOTAL COMP PARTIELLE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</si>
</sst>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.0"/>
      <color indexed="8"/>
      <name val="Calibri"/>
      <family val="2"/>
      <scheme val="minor"/>
    </font>
    <font>
      <name val="Calibri"/>
      <sz val="10.0"/>
      <b val="true"/>
      <color rgb="FFFFFFFF"/>
    </font>
    <font>
      <name val="Calibri"/>
      <sz val="10.0"/>
      <b val="true"/>
    </font>
    <font>
      <name val="Calibri"/>
      <sz val="11.0"/>
      <b val="true"/>
    </font>
    <font>
      <name val="Calibri"/>
      <sz val="9.0"/>
      <b val="true"/>
    </font>
  </fonts>
  <fills count="10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FFF2CC"/>
      </patternFill>
    </fill>
    <fill>
      <patternFill patternType="solid">
        <fgColor rgb="FFF2CC"/>
      </patternFill>
    </fill>
    <fill>
      <patternFill patternType="none">
        <fgColor rgb="9DC3E6"/>
      </patternFill>
    </fill>
    <fill>
      <patternFill patternType="solid">
        <fgColor rgb="9DC3E6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D9D9D9"/>
      </top>
    </border>
    <border>
      <top style="thin">
        <color rgb="D9D9D9"/>
      </top>
      <bottom style="thin"/>
    </border>
    <border>
      <top style="thin">
        <color rgb="D9D9D9"/>
      </top>
      <bottom style="thin">
        <color rgb="D9D9D9"/>
      </bottom>
    </border>
    <border>
      <left style="thin"/>
      <top style="thin">
        <color rgb="D9D9D9"/>
      </top>
      <bottom style="thin">
        <color rgb="D9D9D9"/>
      </bottom>
    </border>
    <border>
      <left style="thin">
        <color rgb="D9D9D9"/>
      </left>
      <top style="thin">
        <color rgb="D9D9D9"/>
      </top>
      <bottom style="thin">
        <color rgb="D9D9D9"/>
      </bottom>
    </border>
    <border>
      <left style="thin">
        <color rgb="D9D9D9"/>
      </left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Font="true" applyFill="true" applyAlignment="true" applyBorder="true">
      <alignment vertical="center" wrapText="true"/>
    </xf>
    <xf numFmtId="0" fontId="0" fillId="0" borderId="8" xfId="0" applyAlignment="true" applyBorder="true">
      <alignment vertical="center"/>
    </xf>
    <xf numFmtId="164" fontId="0" fillId="0" borderId="8" xfId="0" applyAlignment="true" applyBorder="true" applyNumberFormat="true">
      <alignment vertical="center"/>
    </xf>
    <xf numFmtId="0" fontId="2" fillId="5" borderId="8" xfId="0" applyFont="true" applyFill="true" applyAlignment="true" applyBorder="true">
      <alignment vertical="center"/>
    </xf>
    <xf numFmtId="4" fontId="2" fillId="5" borderId="8" xfId="0" applyFont="true" applyFill="true" applyAlignment="true" applyBorder="true" applyNumberFormat="true">
      <alignment vertical="center"/>
    </xf>
    <xf numFmtId="4" fontId="0" fillId="0" borderId="8" xfId="0" applyAlignment="true" applyBorder="true" applyNumberFormat="true">
      <alignment vertical="center"/>
    </xf>
    <xf numFmtId="0" fontId="0" fillId="0" borderId="8" xfId="0" applyAlignment="true" applyBorder="true">
      <alignment vertical="center"/>
    </xf>
    <xf numFmtId="0" fontId="3" fillId="7" borderId="0" xfId="0" applyFont="true" applyFill="true" applyAlignment="true">
      <alignment vertical="center"/>
    </xf>
    <xf numFmtId="0" fontId="4" fillId="9" borderId="8" xfId="0" applyFont="true" applyFill="true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65234375" customWidth="true" bestFit="true"/>
    <col min="2" max="2" width="23.81640625" customWidth="true" bestFit="true"/>
    <col min="3" max="3" width="13.02734375" customWidth="true" bestFit="true"/>
    <col min="4" max="4" width="12.55859375" customWidth="true" bestFit="true"/>
    <col min="5" max="5" width="12.33203125" customWidth="true" bestFit="true"/>
    <col min="6" max="6" width="7.4765625" customWidth="true" bestFit="true"/>
    <col min="7" max="7" width="17.61328125" customWidth="true" bestFit="true"/>
    <col min="8" max="8" width="28.09375" customWidth="true" bestFit="true"/>
    <col min="9" max="9" width="20.4765625" customWidth="true" bestFit="true"/>
    <col min="10" max="10" width="9.40234375" customWidth="true" bestFit="true"/>
    <col min="11" max="11" width="29.6796875" customWidth="true" bestFit="true"/>
    <col min="12" max="12" width="10.7734375" customWidth="true" bestFit="true"/>
    <col min="13" max="13" width="35.69140625" customWidth="true" bestFit="true"/>
    <col min="14" max="14" width="34.5234375" customWidth="true" bestFit="true"/>
    <col min="15" max="15" width="43.65625" customWidth="true" bestFit="true"/>
    <col min="16" max="16" width="30.796875" customWidth="true" bestFit="true"/>
    <col min="17" max="17" width="5.96875" customWidth="true" bestFit="true"/>
    <col min="18" max="18" width="16.75" customWidth="true" bestFit="true"/>
    <col min="19" max="19" width="13.55859375" customWidth="true" bestFit="true"/>
    <col min="20" max="20" width="11.88671875" customWidth="true" bestFit="true"/>
    <col min="21" max="21" width="14.5703125" customWidth="true" bestFit="true"/>
    <col min="22" max="22" width="12.84375" customWidth="true" bestFit="true"/>
    <col min="23" max="23" width="9.90234375" customWidth="true" bestFit="true"/>
    <col min="24" max="24" width="17.484375" customWidth="true" bestFit="true"/>
    <col min="25" max="25" width="23.9140625" customWidth="true" bestFit="true"/>
    <col min="26" max="26" width="18.5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s="2"/>
      <c r="B2" s="2"/>
      <c r="C2" s="2"/>
      <c r="D2" s="2"/>
      <c r="E2" s="2"/>
      <c r="F2" s="2"/>
      <c r="G2" s="2"/>
      <c r="H2" s="6"/>
      <c r="I2" s="6"/>
      <c r="J2" s="2"/>
      <c r="K2" s="2"/>
      <c r="L2" s="6"/>
      <c r="M2" s="2"/>
      <c r="N2" s="2"/>
      <c r="O2" s="2"/>
      <c r="P2" s="6"/>
      <c r="Q2" s="2"/>
      <c r="R2" s="6"/>
      <c r="S2" s="6"/>
      <c r="T2" s="6"/>
      <c r="U2" s="6"/>
      <c r="V2" s="6"/>
      <c r="W2" s="6"/>
      <c r="X2" s="6"/>
      <c r="Y2" s="6"/>
      <c r="Z2" s="6"/>
    </row>
    <row r="3">
      <c r="A3" t="s" s="2">
        <v>26</v>
      </c>
      <c r="B3" t="n" s="2">
        <v>3.0</v>
      </c>
      <c r="C3" t="n" s="2">
        <v>3.0</v>
      </c>
      <c r="D3" t="n" s="3">
        <v>46107.0</v>
      </c>
      <c r="E3" t="n" s="2">
        <v>20.0</v>
      </c>
      <c r="F3" t="n" s="2">
        <v>3.0</v>
      </c>
      <c r="G3" t="n" s="2">
        <v>2.02601719E8</v>
      </c>
      <c r="H3" t="s" s="6">
        <v>27</v>
      </c>
      <c r="I3" t="n" s="6">
        <v>9200.0</v>
      </c>
      <c r="J3" s="2"/>
      <c r="K3" t="s" s="2">
        <v>28</v>
      </c>
      <c r="L3" s="6"/>
      <c r="M3" t="n" s="2">
        <v>1840.0</v>
      </c>
      <c r="N3" t="n" s="2">
        <v>120.0</v>
      </c>
      <c r="O3" t="n" s="2">
        <v>1960.0</v>
      </c>
      <c r="P3" t="n" s="6">
        <v>19.0</v>
      </c>
      <c r="Q3" t="n" s="2">
        <v>19.0</v>
      </c>
      <c r="R3" t="n" s="6">
        <v>2.0</v>
      </c>
      <c r="S3" t="n" s="6">
        <v>4600.0</v>
      </c>
      <c r="T3" t="s" s="6">
        <v>29</v>
      </c>
      <c r="U3" t="s" s="6">
        <v>30</v>
      </c>
      <c r="V3" t="n" s="6">
        <v>4600.0</v>
      </c>
      <c r="W3" t="s" s="6">
        <v>31</v>
      </c>
      <c r="X3" t="n" s="6">
        <v>660.0</v>
      </c>
      <c r="Y3" t="n" s="6">
        <v>660.0</v>
      </c>
      <c r="Z3" s="6"/>
      <c r="AA3" s="2"/>
      <c r="AB3" s="2"/>
      <c r="AC3" s="2"/>
      <c r="AD3" s="2"/>
      <c r="AE3" s="2"/>
      <c r="AF3" s="2"/>
      <c r="AG3" s="2"/>
      <c r="AH3" s="2"/>
    </row>
    <row r="4">
      <c r="A4" t="s" s="4">
        <v>32</v>
      </c>
      <c r="B4" s="4"/>
      <c r="C4" s="4"/>
      <c r="D4" s="4"/>
      <c r="E4" s="4"/>
      <c r="F4" s="4"/>
      <c r="G4" s="4"/>
      <c r="H4" s="5">
        <f>SUBTOTAL(9,H3:H3)</f>
      </c>
      <c r="I4" s="5">
        <f>SUBTOTAL(9,I3:I3)</f>
      </c>
      <c r="J4" s="4"/>
      <c r="K4" s="4"/>
      <c r="L4" s="5">
        <f>SUBTOTAL(9,L3:L3)</f>
      </c>
      <c r="M4" s="4"/>
      <c r="N4" s="4"/>
      <c r="O4" s="4"/>
      <c r="P4" s="5">
        <f>SUBTOTAL(9,P3:P3)</f>
      </c>
      <c r="Q4" s="4"/>
      <c r="R4" s="5">
        <f>SUBTOTAL(9,R3:R3)</f>
      </c>
      <c r="S4" s="5">
        <f>SUBTOTAL(9,S3:S3)</f>
      </c>
      <c r="T4" s="5">
        <f>SUBTOTAL(9,T3:T3)</f>
      </c>
      <c r="U4" s="5">
        <f>SUBTOTAL(9,U3:U3)</f>
      </c>
      <c r="V4" s="5">
        <f>SUBTOTAL(9,V3:V3)</f>
      </c>
      <c r="W4" s="5">
        <f>SUBTOTAL(9,W3:W3)</f>
      </c>
      <c r="X4" s="5">
        <f>SUBTOTAL(9,X3:X3)</f>
      </c>
      <c r="Y4" s="5">
        <f>SUBTOTAL(9,Y3:Y3)</f>
      </c>
      <c r="Z4" s="5">
        <f>SUBTOTAL(9,Z3:Z3)</f>
      </c>
    </row>
    <row r="5">
      <c r="A5" s="2"/>
      <c r="B5" t="s" s="2">
        <v>33</v>
      </c>
      <c r="C5" s="2"/>
      <c r="D5" s="2"/>
      <c r="E5" s="2"/>
      <c r="F5" s="2"/>
      <c r="G5" s="2"/>
      <c r="H5" s="6"/>
      <c r="I5" s="6"/>
      <c r="J5" s="2"/>
      <c r="K5" s="2"/>
      <c r="L5" s="6"/>
      <c r="M5" s="2"/>
      <c r="N5" s="2"/>
      <c r="O5" s="2"/>
      <c r="P5" s="6"/>
      <c r="Q5" s="2"/>
      <c r="R5" s="6"/>
      <c r="S5" s="6"/>
      <c r="T5" s="6"/>
      <c r="U5" s="6"/>
      <c r="V5" s="6"/>
      <c r="W5" s="6"/>
      <c r="X5" s="6"/>
      <c r="Y5" s="6"/>
      <c r="Z5" s="6"/>
      <c r="AA5" s="2"/>
      <c r="AB5" s="2"/>
      <c r="AC5" s="2"/>
      <c r="AD5" s="2"/>
      <c r="AE5" s="2"/>
      <c r="AF5" s="2"/>
      <c r="AG5" s="2"/>
      <c r="AH5" s="2"/>
    </row>
    <row r="6">
      <c r="A6" s="2"/>
      <c r="B6" s="2"/>
      <c r="C6" s="2"/>
      <c r="D6" s="2"/>
      <c r="E6" s="2"/>
      <c r="F6" s="2"/>
      <c r="G6" s="2"/>
      <c r="H6" s="6"/>
      <c r="I6" s="6"/>
      <c r="J6" s="2"/>
      <c r="K6" s="2"/>
      <c r="L6" s="6"/>
      <c r="M6" s="2"/>
      <c r="N6" s="2"/>
      <c r="O6" s="2"/>
      <c r="P6" s="6"/>
      <c r="Q6" s="2"/>
      <c r="R6" s="6"/>
      <c r="S6" s="6"/>
      <c r="T6" s="6"/>
      <c r="U6" s="6"/>
      <c r="V6" s="6"/>
      <c r="W6" s="6"/>
      <c r="X6" s="6"/>
      <c r="Y6" s="6"/>
      <c r="Z6" s="6"/>
    </row>
    <row r="7">
      <c r="A7" t="s" s="2">
        <v>33</v>
      </c>
      <c r="B7" t="n" s="2">
        <v>284.0</v>
      </c>
      <c r="C7" t="n" s="2">
        <v>69534.0</v>
      </c>
      <c r="D7" t="n" s="3">
        <v>44679.0</v>
      </c>
      <c r="E7" t="n" s="2">
        <v>16.0</v>
      </c>
      <c r="F7" t="n" s="2">
        <v>18.0</v>
      </c>
      <c r="G7" t="s" s="2">
        <v>34</v>
      </c>
      <c r="H7" t="s" s="6">
        <v>35</v>
      </c>
      <c r="I7" t="n" s="6">
        <v>3365.02</v>
      </c>
      <c r="J7" t="n" s="2">
        <v>3265.02</v>
      </c>
      <c r="K7" t="s" s="2">
        <v>28</v>
      </c>
      <c r="L7" s="6"/>
      <c r="M7" t="n" s="2">
        <v>538.4032</v>
      </c>
      <c r="N7" t="n" s="2">
        <v>720.0</v>
      </c>
      <c r="O7" t="n" s="2">
        <v>1258.4032</v>
      </c>
      <c r="P7" t="n" s="6">
        <v>75.0</v>
      </c>
      <c r="Q7" t="n" s="2">
        <v>75.0</v>
      </c>
      <c r="R7" t="n" s="6">
        <v>2.0</v>
      </c>
      <c r="S7" t="n" s="6">
        <v>50.0</v>
      </c>
      <c r="T7" t="s" s="6">
        <v>29</v>
      </c>
      <c r="U7" t="s" s="6">
        <v>30</v>
      </c>
      <c r="V7" t="n" s="6">
        <v>3315.02</v>
      </c>
      <c r="W7" t="n" s="6">
        <v>526.5</v>
      </c>
      <c r="X7" t="n" s="6">
        <v>531.5</v>
      </c>
      <c r="Y7" t="n" s="6">
        <v>5.0</v>
      </c>
      <c r="Z7" s="6"/>
      <c r="AA7" s="2"/>
      <c r="AB7" s="2"/>
      <c r="AC7" s="2"/>
      <c r="AD7" s="2"/>
      <c r="AE7" s="2"/>
      <c r="AF7" s="2"/>
      <c r="AG7" s="2"/>
      <c r="AH7" s="2"/>
    </row>
    <row r="8">
      <c r="A8" t="s" s="2">
        <v>33</v>
      </c>
      <c r="B8" t="n" s="2">
        <v>520.0</v>
      </c>
      <c r="C8" t="n" s="2">
        <v>210578.0</v>
      </c>
      <c r="D8" t="n" s="3">
        <v>46099.0</v>
      </c>
      <c r="E8" t="n" s="2">
        <v>3.0</v>
      </c>
      <c r="F8" t="n" s="2">
        <v>2.0</v>
      </c>
      <c r="G8" t="s" s="2">
        <v>36</v>
      </c>
      <c r="H8" t="s" s="6">
        <v>37</v>
      </c>
      <c r="I8" t="n" s="6">
        <v>136.7</v>
      </c>
      <c r="J8" t="s" s="2">
        <v>38</v>
      </c>
      <c r="K8" t="s" s="2">
        <v>39</v>
      </c>
      <c r="L8" s="6"/>
      <c r="M8" t="n" s="2">
        <v>5.12625</v>
      </c>
      <c r="N8" t="n" s="2">
        <v>80.0</v>
      </c>
      <c r="O8" t="n" s="2">
        <v>85.12625</v>
      </c>
      <c r="P8" t="n" s="6">
        <v>94.0</v>
      </c>
      <c r="Q8" t="n" s="2">
        <v>94.0</v>
      </c>
      <c r="R8" t="n" s="6">
        <v>2.0</v>
      </c>
      <c r="S8" t="n" s="6">
        <v>136.73</v>
      </c>
      <c r="T8" t="s" s="6">
        <v>29</v>
      </c>
      <c r="U8" t="s" s="6">
        <v>30</v>
      </c>
      <c r="V8" t="n" s="6">
        <v>136.73</v>
      </c>
      <c r="W8" t="s" s="6">
        <v>31</v>
      </c>
      <c r="X8" t="n" s="6">
        <v>27.35</v>
      </c>
      <c r="Y8" t="n" s="6">
        <v>27.35</v>
      </c>
      <c r="Z8" s="6"/>
      <c r="AA8" s="2"/>
      <c r="AB8" s="2"/>
      <c r="AC8" s="2"/>
      <c r="AD8" s="2"/>
      <c r="AE8" s="2"/>
      <c r="AF8" s="2"/>
      <c r="AG8" s="2"/>
      <c r="AH8" s="2"/>
    </row>
    <row r="9">
      <c r="A9" t="s" s="2">
        <v>33</v>
      </c>
      <c r="B9" t="n" s="2">
        <v>521.0</v>
      </c>
      <c r="C9" t="n" s="2">
        <v>202689.0</v>
      </c>
      <c r="D9" t="n" s="3">
        <v>46100.0</v>
      </c>
      <c r="E9" t="n" s="2">
        <v>3.0</v>
      </c>
      <c r="F9" t="n" s="2">
        <v>1.0</v>
      </c>
      <c r="G9" t="s" s="2">
        <v>40</v>
      </c>
      <c r="H9" t="s" s="6">
        <v>41</v>
      </c>
      <c r="I9" t="n" s="6">
        <v>161.22</v>
      </c>
      <c r="J9" t="s" s="2">
        <v>38</v>
      </c>
      <c r="K9" t="s" s="2">
        <v>39</v>
      </c>
      <c r="L9" s="6"/>
      <c r="M9" t="n" s="2">
        <v>6.04575</v>
      </c>
      <c r="N9" t="n" s="2">
        <v>40.0</v>
      </c>
      <c r="O9" t="n" s="2">
        <v>46.04575</v>
      </c>
      <c r="P9" t="n" s="6">
        <v>93.0</v>
      </c>
      <c r="Q9" t="n" s="2">
        <v>93.0</v>
      </c>
      <c r="R9" t="n" s="6">
        <v>2.0</v>
      </c>
      <c r="S9" t="n" s="6">
        <v>161.22</v>
      </c>
      <c r="T9" t="s" s="6">
        <v>29</v>
      </c>
      <c r="U9" t="s" s="6">
        <v>30</v>
      </c>
      <c r="V9" t="n" s="6">
        <v>161.22</v>
      </c>
      <c r="W9" t="s" s="6">
        <v>31</v>
      </c>
      <c r="X9" t="n" s="6">
        <v>32.24</v>
      </c>
      <c r="Y9" t="n" s="6">
        <v>32.24</v>
      </c>
      <c r="Z9" s="6"/>
      <c r="AA9" s="2"/>
      <c r="AB9" s="2"/>
      <c r="AC9" s="2"/>
      <c r="AD9" s="2"/>
      <c r="AE9" s="2"/>
      <c r="AF9" s="2"/>
      <c r="AG9" s="2"/>
      <c r="AH9" s="2"/>
    </row>
    <row r="10">
      <c r="A10" t="s" s="4">
        <v>42</v>
      </c>
      <c r="B10" s="4"/>
      <c r="C10" s="4"/>
      <c r="D10" s="4"/>
      <c r="E10" s="4"/>
      <c r="F10" s="4"/>
      <c r="G10" s="4"/>
      <c r="H10" s="5">
        <f>SUBTOTAL(9,H7:H9)</f>
      </c>
      <c r="I10" s="5">
        <f>SUBTOTAL(9,I7:I9)</f>
      </c>
      <c r="J10" s="4"/>
      <c r="K10" s="4"/>
      <c r="L10" s="5">
        <f>SUBTOTAL(9,L7:L9)</f>
      </c>
      <c r="M10" s="4"/>
      <c r="N10" s="4"/>
      <c r="O10" s="4"/>
      <c r="P10" s="5">
        <f>SUBTOTAL(9,P7:P9)</f>
      </c>
      <c r="Q10" s="4"/>
      <c r="R10" s="5">
        <f>SUBTOTAL(9,R7:R9)</f>
      </c>
      <c r="S10" s="5">
        <f>SUBTOTAL(9,S7:S9)</f>
      </c>
      <c r="T10" s="5">
        <f>SUBTOTAL(9,T7:T9)</f>
      </c>
      <c r="U10" s="5">
        <f>SUBTOTAL(9,U7:U9)</f>
      </c>
      <c r="V10" s="5">
        <f>SUBTOTAL(9,V7:V9)</f>
      </c>
      <c r="W10" s="5">
        <f>SUBTOTAL(9,W7:W9)</f>
      </c>
      <c r="X10" s="5">
        <f>SUBTOTAL(9,X7:X9)</f>
      </c>
      <c r="Y10" s="5">
        <f>SUBTOTAL(9,Y7:Y9)</f>
      </c>
      <c r="Z10" s="5">
        <f>SUBTOTAL(9,Z7:Z9)</f>
      </c>
    </row>
    <row r="11">
      <c r="A11" s="2"/>
      <c r="B11" t="s" s="2">
        <v>43</v>
      </c>
      <c r="C11" s="2"/>
      <c r="D11" s="2"/>
      <c r="E11" s="2"/>
      <c r="F11" s="2"/>
      <c r="G11" s="2"/>
      <c r="H11" s="6"/>
      <c r="I11" s="6"/>
      <c r="J11" s="2"/>
      <c r="K11" s="2"/>
      <c r="L11" s="6"/>
      <c r="M11" s="2"/>
      <c r="N11" s="2"/>
      <c r="O11" s="2"/>
      <c r="P11" s="6"/>
      <c r="Q11" s="2"/>
      <c r="R11" s="6"/>
      <c r="S11" s="6"/>
      <c r="T11" s="6"/>
      <c r="U11" s="6"/>
      <c r="V11" s="6"/>
      <c r="W11" s="6"/>
      <c r="X11" s="6"/>
      <c r="Y11" s="6"/>
      <c r="Z11" s="6"/>
      <c r="AA11" s="2"/>
      <c r="AB11" s="2"/>
      <c r="AC11" s="2"/>
      <c r="AD11" s="2"/>
      <c r="AE11" s="2"/>
      <c r="AF11" s="2"/>
      <c r="AG11" s="2"/>
      <c r="AH11" s="2"/>
    </row>
    <row r="12">
      <c r="A12" s="2"/>
      <c r="B12" s="2"/>
      <c r="C12" s="2"/>
      <c r="D12" s="2"/>
      <c r="E12" s="2"/>
      <c r="F12" s="2"/>
      <c r="G12" s="2"/>
      <c r="H12" s="6"/>
      <c r="I12" s="6"/>
      <c r="J12" s="2"/>
      <c r="K12" s="2"/>
      <c r="L12" s="6"/>
      <c r="M12" s="2"/>
      <c r="N12" s="2"/>
      <c r="O12" s="2"/>
      <c r="P12" s="6"/>
      <c r="Q12" s="2"/>
      <c r="R12" s="6"/>
      <c r="S12" s="6"/>
      <c r="T12" s="6"/>
      <c r="U12" s="6"/>
      <c r="V12" s="6"/>
      <c r="W12" s="6"/>
      <c r="X12" s="6"/>
      <c r="Y12" s="6"/>
      <c r="Z12" s="6"/>
    </row>
    <row r="13">
      <c r="A13" t="s" s="2">
        <v>43</v>
      </c>
      <c r="B13" t="n" s="2">
        <v>5.0</v>
      </c>
      <c r="C13" t="s" s="2">
        <v>44</v>
      </c>
      <c r="D13" t="n" s="3">
        <v>45352.0</v>
      </c>
      <c r="E13" t="n" s="2">
        <v>30.0</v>
      </c>
      <c r="F13" t="n" s="2">
        <v>2.0</v>
      </c>
      <c r="G13" t="s" s="2">
        <v>45</v>
      </c>
      <c r="H13" t="s" s="6">
        <v>46</v>
      </c>
      <c r="I13" t="n" s="6">
        <v>4400.0</v>
      </c>
      <c r="J13" t="s" s="2">
        <v>38</v>
      </c>
      <c r="K13" t="s" s="2">
        <v>47</v>
      </c>
      <c r="L13" t="s" s="6">
        <v>48</v>
      </c>
      <c r="M13" t="n" s="2">
        <v>1320.0</v>
      </c>
      <c r="N13" t="n" s="2">
        <v>80.0</v>
      </c>
      <c r="O13" t="n" s="2">
        <v>1400.0</v>
      </c>
      <c r="P13" t="n" s="6">
        <v>93.0</v>
      </c>
      <c r="Q13" t="n" s="2">
        <v>93.0</v>
      </c>
      <c r="R13" t="n" s="6">
        <v>2.0</v>
      </c>
      <c r="S13" t="n" s="6">
        <v>1200.0</v>
      </c>
      <c r="T13" t="s" s="6">
        <v>29</v>
      </c>
      <c r="U13" t="s" s="6">
        <v>30</v>
      </c>
      <c r="V13" t="n" s="6">
        <v>1200.0</v>
      </c>
      <c r="W13" t="s" s="6">
        <v>31</v>
      </c>
      <c r="X13" t="n" s="6">
        <v>230.0</v>
      </c>
      <c r="Y13" t="n" s="6">
        <v>230.0</v>
      </c>
      <c r="Z13" s="6"/>
      <c r="AA13" s="2"/>
      <c r="AB13" s="2"/>
      <c r="AC13" s="2"/>
      <c r="AD13" s="2"/>
      <c r="AE13" s="2"/>
      <c r="AF13" s="2"/>
      <c r="AG13" s="2"/>
      <c r="AH13" s="2"/>
    </row>
    <row r="14">
      <c r="A14" t="s" s="2">
        <v>43</v>
      </c>
      <c r="B14" t="n" s="2">
        <v>5.5</v>
      </c>
      <c r="C14" t="s" s="2">
        <v>49</v>
      </c>
      <c r="D14" t="n" s="3">
        <v>45089.0</v>
      </c>
      <c r="E14" t="n" s="2">
        <v>25.0</v>
      </c>
      <c r="F14" t="n" s="2">
        <v>4.0</v>
      </c>
      <c r="G14" t="s" s="2">
        <v>50</v>
      </c>
      <c r="H14" t="s" s="6">
        <v>51</v>
      </c>
      <c r="I14" t="n" s="6">
        <v>1423.8</v>
      </c>
      <c r="J14" t="n" s="2">
        <v>1423.8</v>
      </c>
      <c r="K14" t="s" s="2">
        <v>39</v>
      </c>
      <c r="L14" t="s" s="6">
        <v>48</v>
      </c>
      <c r="M14" t="n" s="2">
        <v>355.95</v>
      </c>
      <c r="N14" t="n" s="2">
        <v>160.0</v>
      </c>
      <c r="O14" t="n" s="2">
        <v>515.95</v>
      </c>
      <c r="P14" t="s" s="6">
        <v>52</v>
      </c>
      <c r="Q14" s="2"/>
      <c r="R14" s="6"/>
      <c r="S14" t="n" s="6">
        <v>1500.0</v>
      </c>
      <c r="T14" t="s" s="6">
        <v>53</v>
      </c>
      <c r="U14" t="s" s="6">
        <v>30</v>
      </c>
      <c r="V14" t="n" s="6">
        <v>2923.8</v>
      </c>
      <c r="W14" s="6"/>
      <c r="X14" s="6"/>
      <c r="Y14" t="n" s="6">
        <v>450.0</v>
      </c>
      <c r="Z14" s="6"/>
      <c r="AA14" s="2"/>
      <c r="AB14" s="2"/>
      <c r="AC14" s="2"/>
      <c r="AD14" s="2"/>
      <c r="AE14" s="2"/>
      <c r="AF14" s="2"/>
      <c r="AG14" s="2"/>
      <c r="AH14" s="2"/>
    </row>
    <row r="15">
      <c r="A15" t="s" s="4">
        <v>54</v>
      </c>
      <c r="B15" s="4"/>
      <c r="C15" s="4"/>
      <c r="D15" s="4"/>
      <c r="E15" s="4"/>
      <c r="F15" s="4"/>
      <c r="G15" s="4"/>
      <c r="H15" s="5">
        <f>SUBTOTAL(9,H13:H14)</f>
      </c>
      <c r="I15" s="5">
        <f>SUBTOTAL(9,I13:I14)</f>
      </c>
      <c r="J15" s="4"/>
      <c r="K15" s="4"/>
      <c r="L15" s="5">
        <f>SUBTOTAL(9,L13:L14)</f>
      </c>
      <c r="M15" s="4"/>
      <c r="N15" s="4"/>
      <c r="O15" s="4"/>
      <c r="P15" s="5">
        <f>SUBTOTAL(9,P13:P14)</f>
      </c>
      <c r="Q15" s="4"/>
      <c r="R15" s="5">
        <f>SUBTOTAL(9,R13:R14)</f>
      </c>
      <c r="S15" s="5">
        <f>SUBTOTAL(9,S13:S14)</f>
      </c>
      <c r="T15" s="5">
        <f>SUBTOTAL(9,T13:T14)</f>
      </c>
      <c r="U15" s="5">
        <f>SUBTOTAL(9,U13:U14)</f>
      </c>
      <c r="V15" s="5">
        <f>SUBTOTAL(9,V13:V14)</f>
      </c>
      <c r="W15" s="5">
        <f>SUBTOTAL(9,W13:W14)</f>
      </c>
      <c r="X15" s="5">
        <f>SUBTOTAL(9,X13:X14)</f>
      </c>
      <c r="Y15" s="5">
        <f>SUBTOTAL(9,Y13:Y14)</f>
      </c>
      <c r="Z15" s="5">
        <f>SUBTOTAL(9,Z13:Z14)</f>
      </c>
    </row>
    <row r="16">
      <c r="A16" s="2"/>
      <c r="B16" t="s" s="2">
        <v>55</v>
      </c>
      <c r="C16" s="2"/>
      <c r="D16" s="2"/>
      <c r="E16" s="2"/>
      <c r="F16" s="2"/>
      <c r="G16" s="2"/>
      <c r="H16" s="6"/>
      <c r="I16" s="6"/>
      <c r="J16" s="2"/>
      <c r="K16" s="2"/>
      <c r="L16" s="6"/>
      <c r="M16" s="2"/>
      <c r="N16" s="2"/>
      <c r="O16" s="2"/>
      <c r="P16" s="6"/>
      <c r="Q16" s="2"/>
      <c r="R16" s="6"/>
      <c r="S16" s="6"/>
      <c r="T16" s="6"/>
      <c r="U16" s="6"/>
      <c r="V16" s="6"/>
      <c r="W16" s="6"/>
      <c r="X16" s="6"/>
      <c r="Y16" s="6"/>
      <c r="Z16" s="6"/>
      <c r="AA16" s="2"/>
      <c r="AB16" s="2"/>
      <c r="AC16" s="2"/>
      <c r="AD16" s="2"/>
      <c r="AE16" s="2"/>
      <c r="AF16" s="2"/>
      <c r="AG16" s="2"/>
      <c r="AH16" s="2"/>
    </row>
    <row r="17">
      <c r="A17" s="2"/>
      <c r="B17" s="2"/>
      <c r="C17" s="2"/>
      <c r="D17" s="2"/>
      <c r="E17" s="2"/>
      <c r="F17" s="2"/>
      <c r="G17" s="2"/>
      <c r="H17" s="6"/>
      <c r="I17" s="6"/>
      <c r="J17" s="2"/>
      <c r="K17" s="2"/>
      <c r="L17" s="6"/>
      <c r="M17" s="2"/>
      <c r="N17" s="2"/>
      <c r="O17" s="2"/>
      <c r="P17" s="6"/>
      <c r="Q17" s="2"/>
      <c r="R17" s="6"/>
      <c r="S17" s="6"/>
      <c r="T17" s="6"/>
      <c r="U17" s="6"/>
      <c r="V17" s="6"/>
      <c r="W17" s="6"/>
      <c r="X17" s="6"/>
      <c r="Y17" s="6"/>
      <c r="Z17" s="6"/>
    </row>
    <row r="18">
      <c r="A18" t="s" s="2">
        <v>55</v>
      </c>
      <c r="B18" t="n" s="2">
        <v>1163.0</v>
      </c>
      <c r="C18" t="s" s="2">
        <v>56</v>
      </c>
      <c r="D18" t="n" s="3">
        <v>45365.0</v>
      </c>
      <c r="E18" t="n" s="2">
        <v>12.0</v>
      </c>
      <c r="F18" t="n" s="2">
        <v>1.0</v>
      </c>
      <c r="G18" t="n" s="2">
        <v>2.0250327E7</v>
      </c>
      <c r="H18" t="s" s="6">
        <v>57</v>
      </c>
      <c r="I18" t="n" s="6">
        <v>800.0</v>
      </c>
      <c r="J18" t="n" s="2">
        <v>450.0</v>
      </c>
      <c r="K18" t="s" s="2">
        <v>28</v>
      </c>
      <c r="L18" s="6"/>
      <c r="M18" t="n" s="2">
        <v>144.0</v>
      </c>
      <c r="N18" t="n" s="2">
        <v>40.0</v>
      </c>
      <c r="O18" t="n" s="2">
        <v>184.0</v>
      </c>
      <c r="P18" t="n" s="6">
        <v>27.0</v>
      </c>
      <c r="Q18" t="n" s="2">
        <v>27.0</v>
      </c>
      <c r="R18" t="n" s="6">
        <v>2.0</v>
      </c>
      <c r="S18" t="n" s="6">
        <v>50.0</v>
      </c>
      <c r="T18" t="s" s="6">
        <v>53</v>
      </c>
      <c r="U18" t="s" s="6">
        <v>30</v>
      </c>
      <c r="V18" t="n" s="6">
        <v>500.0</v>
      </c>
      <c r="W18" t="n" s="6">
        <v>90.0</v>
      </c>
      <c r="X18" t="n" s="6">
        <v>100.0</v>
      </c>
      <c r="Y18" t="n" s="6">
        <v>10.0</v>
      </c>
      <c r="Z18" s="6"/>
      <c r="AA18" s="2"/>
      <c r="AB18" s="2"/>
      <c r="AC18" s="2"/>
      <c r="AD18" s="2"/>
      <c r="AE18" s="2"/>
      <c r="AF18" s="2"/>
      <c r="AG18" s="2"/>
      <c r="AH18" s="2"/>
    </row>
    <row r="19">
      <c r="A19" t="s" s="2">
        <v>55</v>
      </c>
      <c r="B19" t="n" s="2">
        <v>1204.0</v>
      </c>
      <c r="C19" t="s" s="2">
        <v>58</v>
      </c>
      <c r="D19" t="n" s="3">
        <v>45848.0</v>
      </c>
      <c r="E19" t="n" s="2">
        <v>16.0</v>
      </c>
      <c r="F19" t="n" s="2">
        <v>1.0</v>
      </c>
      <c r="G19" t="n" s="2">
        <v>2.0250539E7</v>
      </c>
      <c r="H19" t="s" s="6">
        <v>59</v>
      </c>
      <c r="I19" t="n" s="6">
        <v>1680.0</v>
      </c>
      <c r="J19" t="n" s="2">
        <v>1879.2</v>
      </c>
      <c r="K19" t="s" s="2">
        <v>28</v>
      </c>
      <c r="L19" s="6"/>
      <c r="M19" s="2"/>
      <c r="N19" t="n" s="2">
        <v>40.0</v>
      </c>
      <c r="O19" s="2"/>
      <c r="P19" t="n" s="6">
        <v>39.0</v>
      </c>
      <c r="Q19" t="n" s="2">
        <v>39.0</v>
      </c>
      <c r="R19" t="n" s="6">
        <v>2.0</v>
      </c>
      <c r="S19" t="n" s="6">
        <v>208.8</v>
      </c>
      <c r="T19" t="s" s="6">
        <v>53</v>
      </c>
      <c r="U19" t="s" s="6">
        <v>30</v>
      </c>
      <c r="V19" t="n" s="6">
        <v>2088.0</v>
      </c>
      <c r="W19" t="n" s="6">
        <v>331.88</v>
      </c>
      <c r="X19" t="n" s="6">
        <v>363.2</v>
      </c>
      <c r="Y19" t="n" s="6">
        <v>31.32</v>
      </c>
      <c r="Z19" s="6"/>
      <c r="AA19" s="2"/>
      <c r="AB19" s="2"/>
      <c r="AC19" s="2"/>
      <c r="AD19" s="2"/>
      <c r="AE19" s="2"/>
      <c r="AF19" s="2"/>
      <c r="AG19" s="2"/>
      <c r="AH19" s="2"/>
    </row>
    <row r="20">
      <c r="A20" t="s" s="2">
        <v>55</v>
      </c>
      <c r="B20" t="n" s="2">
        <v>1214.0</v>
      </c>
      <c r="C20" t="s" s="2">
        <v>60</v>
      </c>
      <c r="D20" t="n" s="3">
        <v>45925.0</v>
      </c>
      <c r="E20" t="n" s="2">
        <v>42.0</v>
      </c>
      <c r="F20" t="n" s="2">
        <v>1.0</v>
      </c>
      <c r="G20" t="n" s="2">
        <v>2.0250598E7</v>
      </c>
      <c r="H20" t="s" s="6">
        <v>61</v>
      </c>
      <c r="I20" t="n" s="6">
        <v>660.0</v>
      </c>
      <c r="J20" t="n" s="2">
        <v>220.0</v>
      </c>
      <c r="K20" t="s" s="2">
        <v>28</v>
      </c>
      <c r="L20" s="6"/>
      <c r="M20" t="n" s="2">
        <v>415.8</v>
      </c>
      <c r="N20" t="n" s="2">
        <v>40.0</v>
      </c>
      <c r="O20" t="n" s="2">
        <v>455.8</v>
      </c>
      <c r="P20" t="n" s="6">
        <v>98.0</v>
      </c>
      <c r="Q20" t="n" s="2">
        <v>98.0</v>
      </c>
      <c r="R20" t="n" s="6">
        <v>2.0</v>
      </c>
      <c r="S20" t="s" s="6">
        <v>30</v>
      </c>
      <c r="T20" t="s" s="6">
        <v>62</v>
      </c>
      <c r="U20" t="n" s="6">
        <v>120.0</v>
      </c>
      <c r="V20" t="n" s="6">
        <v>220.0</v>
      </c>
      <c r="W20" t="n" s="6">
        <v>44.0</v>
      </c>
      <c r="X20" t="n" s="6">
        <v>44.0</v>
      </c>
      <c r="Y20" t="s" s="6">
        <v>31</v>
      </c>
      <c r="Z20" s="6"/>
      <c r="AA20" s="2"/>
      <c r="AB20" s="2"/>
      <c r="AC20" s="2"/>
      <c r="AD20" s="2"/>
      <c r="AE20" s="2"/>
      <c r="AF20" s="2"/>
      <c r="AG20" s="2"/>
      <c r="AH20" s="2"/>
    </row>
    <row r="21">
      <c r="A21" t="s" s="2">
        <v>55</v>
      </c>
      <c r="B21" t="n" s="2">
        <v>1257.0</v>
      </c>
      <c r="C21" t="s" s="2">
        <v>63</v>
      </c>
      <c r="D21" t="n" s="3">
        <v>46070.0</v>
      </c>
      <c r="E21" t="n" s="2">
        <v>12.0</v>
      </c>
      <c r="F21" t="n" s="2">
        <v>1.0</v>
      </c>
      <c r="G21" t="n" s="2">
        <v>2.02601682E8</v>
      </c>
      <c r="H21" t="s" s="6">
        <v>64</v>
      </c>
      <c r="I21" t="n" s="6">
        <v>780.0</v>
      </c>
      <c r="J21" t="s" s="2">
        <v>38</v>
      </c>
      <c r="K21" t="s" s="2">
        <v>28</v>
      </c>
      <c r="L21" s="6"/>
      <c r="M21" t="n" s="2">
        <v>140.4</v>
      </c>
      <c r="N21" t="n" s="2">
        <v>40.0</v>
      </c>
      <c r="O21" t="n" s="2">
        <v>180.4</v>
      </c>
      <c r="P21" t="n" s="6">
        <v>82.0</v>
      </c>
      <c r="Q21" t="n" s="2">
        <v>82.0</v>
      </c>
      <c r="R21" t="n" s="6">
        <v>2.0</v>
      </c>
      <c r="S21" t="s" s="6">
        <v>30</v>
      </c>
      <c r="T21" t="s" s="6">
        <v>62</v>
      </c>
      <c r="U21" t="n" s="6">
        <v>120.0</v>
      </c>
      <c r="V21" t="s" s="6">
        <v>31</v>
      </c>
      <c r="W21" t="s" s="6">
        <v>31</v>
      </c>
      <c r="X21" t="s" s="6">
        <v>31</v>
      </c>
      <c r="Y21" t="s" s="6">
        <v>31</v>
      </c>
      <c r="Z21" s="6"/>
      <c r="AA21" s="2"/>
      <c r="AB21" s="2"/>
      <c r="AC21" s="2"/>
      <c r="AD21" s="2"/>
      <c r="AE21" s="2"/>
      <c r="AF21" s="2"/>
      <c r="AG21" s="2"/>
      <c r="AH21" s="2"/>
    </row>
    <row r="22">
      <c r="A22" t="s" s="2">
        <v>55</v>
      </c>
      <c r="B22" t="n" s="2">
        <v>1264.0</v>
      </c>
      <c r="C22" t="s" s="2">
        <v>65</v>
      </c>
      <c r="D22" t="n" s="3">
        <v>46121.0</v>
      </c>
      <c r="E22" t="n" s="2">
        <v>18.0</v>
      </c>
      <c r="F22" t="n" s="2">
        <v>1.0</v>
      </c>
      <c r="G22" t="n" s="2">
        <v>2.02601726E8</v>
      </c>
      <c r="H22" t="s" s="6">
        <v>66</v>
      </c>
      <c r="I22" t="n" s="6">
        <v>1620.0</v>
      </c>
      <c r="J22" s="2"/>
      <c r="K22" t="s" s="2">
        <v>28</v>
      </c>
      <c r="L22" s="6"/>
      <c r="M22" t="n" s="2">
        <v>437.4</v>
      </c>
      <c r="N22" t="n" s="2">
        <v>40.0</v>
      </c>
      <c r="O22" t="n" s="2">
        <v>477.4</v>
      </c>
      <c r="P22" t="n" s="6">
        <v>26.0</v>
      </c>
      <c r="Q22" t="n" s="2">
        <v>26.0</v>
      </c>
      <c r="R22" t="n" s="6">
        <v>2.0</v>
      </c>
      <c r="S22" t="n" s="6">
        <v>500.0</v>
      </c>
      <c r="T22" t="s" s="6">
        <v>53</v>
      </c>
      <c r="U22" t="s" s="6">
        <v>30</v>
      </c>
      <c r="V22" t="n" s="6">
        <v>500.0</v>
      </c>
      <c r="W22" t="s" s="6">
        <v>31</v>
      </c>
      <c r="X22" t="n" s="6">
        <v>100.0</v>
      </c>
      <c r="Y22" t="n" s="6">
        <v>100.0</v>
      </c>
      <c r="Z22" s="6"/>
      <c r="AA22" s="2"/>
      <c r="AB22" s="2"/>
      <c r="AC22" s="2"/>
      <c r="AD22" s="2"/>
      <c r="AE22" s="2"/>
      <c r="AF22" s="2"/>
      <c r="AG22" s="2"/>
      <c r="AH22" s="2"/>
    </row>
    <row r="23">
      <c r="A23" t="s" s="4">
        <v>67</v>
      </c>
      <c r="B23" s="4"/>
      <c r="C23" s="4"/>
      <c r="D23" s="4"/>
      <c r="E23" s="4"/>
      <c r="F23" s="4"/>
      <c r="G23" s="4"/>
      <c r="H23" s="5">
        <f>SUBTOTAL(9,H18:H22)</f>
      </c>
      <c r="I23" s="5">
        <f>SUBTOTAL(9,I18:I22)</f>
      </c>
      <c r="J23" s="4"/>
      <c r="K23" s="4"/>
      <c r="L23" s="5">
        <f>SUBTOTAL(9,L18:L22)</f>
      </c>
      <c r="M23" s="4"/>
      <c r="N23" s="4"/>
      <c r="O23" s="4"/>
      <c r="P23" s="5">
        <f>SUBTOTAL(9,P18:P22)</f>
      </c>
      <c r="Q23" s="4"/>
      <c r="R23" s="5">
        <f>SUBTOTAL(9,R18:R22)</f>
      </c>
      <c r="S23" s="5">
        <f>SUBTOTAL(9,S18:S22)</f>
      </c>
      <c r="T23" s="5">
        <f>SUBTOTAL(9,T18:T22)</f>
      </c>
      <c r="U23" s="5">
        <f>SUBTOTAL(9,U18:U22)</f>
      </c>
      <c r="V23" s="5">
        <f>SUBTOTAL(9,V18:V22)</f>
      </c>
      <c r="W23" s="5">
        <f>SUBTOTAL(9,W18:W22)</f>
      </c>
      <c r="X23" s="5">
        <f>SUBTOTAL(9,X18:X22)</f>
      </c>
      <c r="Y23" s="5">
        <f>SUBTOTAL(9,Y18:Y22)</f>
      </c>
      <c r="Z23" s="5">
        <f>SUBTOTAL(9,Z18:Z22)</f>
      </c>
    </row>
    <row r="24">
      <c r="A24" s="2"/>
      <c r="B24" t="s" s="2">
        <v>68</v>
      </c>
      <c r="C24" s="2"/>
      <c r="D24" s="2"/>
      <c r="E24" s="2"/>
      <c r="F24" s="2"/>
      <c r="G24" s="2"/>
      <c r="H24" s="6"/>
      <c r="I24" s="6"/>
      <c r="J24" s="2"/>
      <c r="K24" s="2"/>
      <c r="L24" s="6"/>
      <c r="M24" s="2"/>
      <c r="N24" s="2"/>
      <c r="O24" s="2"/>
      <c r="P24" s="6"/>
      <c r="Q24" s="2"/>
      <c r="R24" s="6"/>
      <c r="S24" s="6"/>
      <c r="T24" s="6"/>
      <c r="U24" s="6"/>
      <c r="V24" s="6"/>
      <c r="W24" s="6"/>
      <c r="X24" s="6"/>
      <c r="Y24" s="6"/>
      <c r="Z24" s="6"/>
      <c r="AA24" s="2"/>
      <c r="AB24" s="2"/>
      <c r="AC24" s="2"/>
      <c r="AD24" s="2"/>
      <c r="AE24" s="2"/>
      <c r="AF24" s="2"/>
      <c r="AG24" s="2"/>
      <c r="AH24" s="2"/>
    </row>
    <row r="25">
      <c r="A25" s="2"/>
      <c r="B25" s="2"/>
      <c r="C25" s="2"/>
      <c r="D25" s="2"/>
      <c r="E25" s="2"/>
      <c r="F25" s="2"/>
      <c r="G25" s="2"/>
      <c r="H25" s="6"/>
      <c r="I25" s="6"/>
      <c r="J25" s="2"/>
      <c r="K25" s="2"/>
      <c r="L25" s="6"/>
      <c r="M25" s="2"/>
      <c r="N25" s="2"/>
      <c r="O25" s="2"/>
      <c r="P25" s="6"/>
      <c r="Q25" s="2"/>
      <c r="R25" s="6"/>
      <c r="S25" s="6"/>
      <c r="T25" s="6"/>
      <c r="U25" s="6"/>
      <c r="V25" s="6"/>
      <c r="W25" s="6"/>
      <c r="X25" s="6"/>
      <c r="Y25" s="6"/>
      <c r="Z25" s="6"/>
    </row>
    <row r="26">
      <c r="A26" t="s" s="2">
        <v>68</v>
      </c>
      <c r="B26" s="2"/>
      <c r="C26" s="2"/>
      <c r="D26" s="2"/>
      <c r="E26" s="2"/>
      <c r="F26" s="2"/>
      <c r="G26" s="2"/>
      <c r="H26" s="6"/>
      <c r="I26" t="s" s="6">
        <v>69</v>
      </c>
      <c r="J26" s="2"/>
      <c r="K26" s="2"/>
      <c r="L26" s="6"/>
      <c r="M26" s="2"/>
      <c r="N26" s="2"/>
      <c r="O26" s="2"/>
      <c r="P26" s="6"/>
      <c r="Q26" s="2"/>
      <c r="R26" s="6"/>
      <c r="S26" s="6"/>
      <c r="T26" t="n" s="6">
        <v>10000.0</v>
      </c>
      <c r="U26" t="n" s="6">
        <v>900.0</v>
      </c>
      <c r="V26" s="6"/>
      <c r="W26" s="6"/>
      <c r="X26" s="6"/>
      <c r="Y26" s="6"/>
      <c r="Z26" s="6"/>
      <c r="AA26" s="2"/>
      <c r="AB26" s="2"/>
      <c r="AC26" s="2"/>
      <c r="AD26" s="2"/>
      <c r="AE26" s="2"/>
      <c r="AF26" s="2"/>
      <c r="AG26" s="2"/>
      <c r="AH26" s="2"/>
    </row>
    <row r="27">
      <c r="A27" t="s" s="2">
        <v>68</v>
      </c>
      <c r="B27" s="2"/>
      <c r="C27" s="2"/>
      <c r="D27" s="2"/>
      <c r="E27" s="2"/>
      <c r="F27" s="2"/>
      <c r="G27" s="2"/>
      <c r="H27" s="6"/>
      <c r="I27" t="s" s="6">
        <v>70</v>
      </c>
      <c r="J27" s="2"/>
      <c r="K27" s="2"/>
      <c r="L27" s="6"/>
      <c r="M27" s="2"/>
      <c r="N27" s="2"/>
      <c r="O27" s="2"/>
      <c r="P27" s="6"/>
      <c r="Q27" s="2"/>
      <c r="R27" s="6"/>
      <c r="S27" s="6"/>
      <c r="T27" t="n" s="6">
        <v>30000.0</v>
      </c>
      <c r="U27" t="n" s="6">
        <v>1600.0</v>
      </c>
      <c r="V27" t="n" s="6">
        <v>2500.0</v>
      </c>
      <c r="W27" s="6"/>
      <c r="X27" s="6"/>
      <c r="Y27" s="6"/>
      <c r="Z27" s="6"/>
      <c r="AA27" s="2"/>
      <c r="AB27" s="2"/>
      <c r="AC27" s="2"/>
      <c r="AD27" s="2"/>
      <c r="AE27" s="2"/>
      <c r="AF27" s="2"/>
      <c r="AG27" s="2"/>
      <c r="AH27" s="2"/>
    </row>
    <row r="28">
      <c r="A28" t="s" s="2">
        <v>68</v>
      </c>
      <c r="B28" s="2"/>
      <c r="C28" s="2"/>
      <c r="D28" s="2"/>
      <c r="E28" s="2"/>
      <c r="F28" s="2"/>
      <c r="G28" s="2"/>
      <c r="H28" s="6"/>
      <c r="I28" s="6"/>
      <c r="J28" s="2"/>
      <c r="K28" s="2"/>
      <c r="L28" s="6"/>
      <c r="M28" s="2"/>
      <c r="N28" s="2"/>
      <c r="O28" s="2"/>
      <c r="P28" s="6"/>
      <c r="Q28" s="2"/>
      <c r="R28" s="6"/>
      <c r="S28" s="6"/>
      <c r="T28" t="n" s="6">
        <v>34000.0</v>
      </c>
      <c r="U28" t="n" s="6">
        <v>240.0</v>
      </c>
      <c r="V28" t="n" s="6">
        <v>2740.0</v>
      </c>
      <c r="W28" s="6"/>
      <c r="X28" s="6"/>
      <c r="Y28" s="6"/>
      <c r="Z28" s="6"/>
      <c r="AA28" s="2"/>
      <c r="AB28" s="2"/>
      <c r="AC28" s="2"/>
      <c r="AD28" s="2"/>
      <c r="AE28" s="2"/>
      <c r="AF28" s="2"/>
      <c r="AG28" s="2"/>
      <c r="AH28" s="2"/>
    </row>
    <row r="29">
      <c r="A29" t="s" s="2">
        <v>68</v>
      </c>
      <c r="B29" t="n" s="2">
        <v>1.0</v>
      </c>
      <c r="C29" t="n" s="2">
        <v>1.0</v>
      </c>
      <c r="D29" t="n" s="3">
        <v>45736.0</v>
      </c>
      <c r="E29" t="n" s="2">
        <v>5.0</v>
      </c>
      <c r="F29" t="n" s="2">
        <v>9.0</v>
      </c>
      <c r="G29" t="n" s="2">
        <v>2.0250336E7</v>
      </c>
      <c r="H29" t="s" s="6">
        <v>71</v>
      </c>
      <c r="I29" t="n" s="6">
        <v>69081.02</v>
      </c>
      <c r="J29" t="n" s="2">
        <v>62000.0</v>
      </c>
      <c r="K29" t="s" s="2">
        <v>28</v>
      </c>
      <c r="L29" s="6"/>
      <c r="M29" t="n" s="2">
        <v>4317.56375</v>
      </c>
      <c r="N29" t="n" s="2">
        <v>360.0</v>
      </c>
      <c r="O29" t="n" s="2">
        <v>4677.56375</v>
      </c>
      <c r="P29" t="n" s="6">
        <v>36.0</v>
      </c>
      <c r="Q29" t="n" s="2">
        <v>36.0</v>
      </c>
      <c r="R29" t="n" s="6">
        <v>2.0</v>
      </c>
      <c r="S29" t="n" s="6">
        <v>14000.0</v>
      </c>
      <c r="T29" t="s" s="6">
        <v>53</v>
      </c>
      <c r="U29" t="s" s="6">
        <v>30</v>
      </c>
      <c r="V29" t="n" s="6">
        <v>76000.0</v>
      </c>
      <c r="W29" t="n" s="6">
        <v>4420.0</v>
      </c>
      <c r="X29" t="n" s="6">
        <v>5260.0</v>
      </c>
      <c r="Y29" t="n" s="6">
        <v>840.0</v>
      </c>
      <c r="Z29" s="6"/>
      <c r="AA29" s="2"/>
      <c r="AB29" s="2"/>
      <c r="AC29" s="2"/>
      <c r="AD29" s="2"/>
      <c r="AE29" s="2"/>
      <c r="AF29" s="2"/>
      <c r="AG29" s="2"/>
      <c r="AH29" s="2"/>
    </row>
    <row r="30">
      <c r="A30" t="s" s="4">
        <v>72</v>
      </c>
      <c r="B30" s="4"/>
      <c r="C30" s="4"/>
      <c r="D30" s="4"/>
      <c r="E30" s="4"/>
      <c r="F30" s="4"/>
      <c r="G30" s="4"/>
      <c r="H30" s="5">
        <f>SUBTOTAL(9,H26:H29)</f>
      </c>
      <c r="I30" s="5">
        <f>SUBTOTAL(9,I26:I29)</f>
      </c>
      <c r="J30" s="4"/>
      <c r="K30" s="4"/>
      <c r="L30" s="5">
        <f>SUBTOTAL(9,L26:L29)</f>
      </c>
      <c r="M30" s="4"/>
      <c r="N30" s="4"/>
      <c r="O30" s="4"/>
      <c r="P30" s="5">
        <f>SUBTOTAL(9,P26:P29)</f>
      </c>
      <c r="Q30" s="4"/>
      <c r="R30" s="5">
        <f>SUBTOTAL(9,R26:R29)</f>
      </c>
      <c r="S30" s="5">
        <f>SUBTOTAL(9,S26:S29)</f>
      </c>
      <c r="T30" s="5">
        <f>SUBTOTAL(9,T26:T29)</f>
      </c>
      <c r="U30" s="5">
        <f>SUBTOTAL(9,U26:U29)</f>
      </c>
      <c r="V30" s="5">
        <f>SUBTOTAL(9,V26:V29)</f>
      </c>
      <c r="W30" s="5">
        <f>SUBTOTAL(9,W26:W29)</f>
      </c>
      <c r="X30" s="5">
        <f>SUBTOTAL(9,X26:X29)</f>
      </c>
      <c r="Y30" s="5">
        <f>SUBTOTAL(9,Y26:Y29)</f>
      </c>
      <c r="Z30" s="5">
        <f>SUBTOTAL(9,Z26:Z29)</f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81640625" customWidth="true" bestFit="true"/>
    <col min="2" max="2" width="9.0859375" customWidth="true" bestFit="true"/>
    <col min="3" max="3" width="7.375" customWidth="true" bestFit="true"/>
    <col min="4" max="4" width="9.5078125" customWidth="true" bestFit="true"/>
    <col min="5" max="5" width="12.33203125" customWidth="true" bestFit="true"/>
    <col min="6" max="6" width="7.4765625" customWidth="true" bestFit="true"/>
    <col min="7" max="7" width="10.16796875" customWidth="true" bestFit="true"/>
    <col min="8" max="8" width="18.87890625" customWidth="true" bestFit="true"/>
    <col min="9" max="9" width="20.4765625" customWidth="true" bestFit="true"/>
    <col min="10" max="10" width="6.78125" customWidth="true" bestFit="true"/>
    <col min="11" max="11" width="9.828125" customWidth="true" bestFit="true"/>
    <col min="12" max="12" width="10.7734375" customWidth="true" bestFit="true"/>
    <col min="13" max="13" width="35.69140625" customWidth="true" bestFit="true"/>
    <col min="14" max="14" width="34.5234375" customWidth="true" bestFit="true"/>
    <col min="15" max="15" width="43.65625" customWidth="true" bestFit="true"/>
    <col min="16" max="16" width="30.796875" customWidth="true" bestFit="true"/>
    <col min="17" max="17" width="5.96875" customWidth="true" bestFit="true"/>
    <col min="18" max="18" width="16.75" customWidth="true" bestFit="true"/>
    <col min="19" max="19" width="13.55859375" customWidth="true" bestFit="true"/>
    <col min="20" max="20" width="11.88671875" customWidth="true" bestFit="true"/>
    <col min="21" max="21" width="14.5703125" customWidth="true" bestFit="true"/>
    <col min="22" max="22" width="12.84375" customWidth="true" bestFit="true"/>
    <col min="23" max="23" width="9.90234375" customWidth="true" bestFit="true"/>
    <col min="24" max="24" width="17.484375" customWidth="true" bestFit="true"/>
    <col min="25" max="25" width="23.9140625" customWidth="true" bestFit="true"/>
    <col min="26" max="26" width="18.5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7">
        <v>55</v>
      </c>
      <c r="B2" t="s" s="7">
        <v>73</v>
      </c>
      <c r="C2" s="2"/>
      <c r="D2" s="2"/>
      <c r="E2" s="2"/>
      <c r="F2" s="2"/>
      <c r="G2" s="2"/>
      <c r="H2" t="n" s="6">
        <v>0.0</v>
      </c>
      <c r="I2" t="n" s="6">
        <v>5540.0</v>
      </c>
      <c r="J2" s="2"/>
      <c r="K2" s="2"/>
      <c r="L2" t="n" s="6">
        <v>0.0</v>
      </c>
      <c r="M2" s="2"/>
      <c r="N2" s="2"/>
      <c r="O2" s="2"/>
      <c r="P2" t="n" s="6">
        <v>272.0</v>
      </c>
      <c r="Q2" s="2"/>
      <c r="R2" t="n" s="6">
        <v>10.0</v>
      </c>
      <c r="S2" t="n" s="6">
        <v>758.8</v>
      </c>
      <c r="T2" t="n" s="6">
        <v>0.0</v>
      </c>
      <c r="U2" t="n" s="6">
        <v>240.0</v>
      </c>
      <c r="V2" t="n" s="6">
        <v>3308.0</v>
      </c>
      <c r="W2" t="n" s="6">
        <v>465.88</v>
      </c>
      <c r="X2" t="n" s="6">
        <v>607.2</v>
      </c>
      <c r="Y2" t="n" s="6">
        <v>141.32</v>
      </c>
      <c r="Z2" t="n" s="6">
        <v>0.0</v>
      </c>
    </row>
    <row r="3">
      <c r="A3" t="s" s="7">
        <v>33</v>
      </c>
      <c r="B3" t="s" s="7">
        <v>74</v>
      </c>
      <c r="C3" s="2"/>
      <c r="D3" s="2"/>
      <c r="E3" s="2"/>
      <c r="F3" s="2"/>
      <c r="G3" s="2"/>
      <c r="H3" t="n" s="6">
        <v>0.0</v>
      </c>
      <c r="I3" t="n" s="6">
        <v>3662.9399999999996</v>
      </c>
      <c r="J3" s="2"/>
      <c r="K3" s="2"/>
      <c r="L3" t="n" s="6">
        <v>0.0</v>
      </c>
      <c r="M3" s="2"/>
      <c r="N3" s="2"/>
      <c r="O3" s="2"/>
      <c r="P3" t="n" s="6">
        <v>262.0</v>
      </c>
      <c r="Q3" s="2"/>
      <c r="R3" t="n" s="6">
        <v>6.0</v>
      </c>
      <c r="S3" t="n" s="6">
        <v>347.95</v>
      </c>
      <c r="T3" t="n" s="6">
        <v>0.0</v>
      </c>
      <c r="U3" t="n" s="6">
        <v>0.0</v>
      </c>
      <c r="V3" t="n" s="6">
        <v>3612.97</v>
      </c>
      <c r="W3" t="n" s="6">
        <v>526.5</v>
      </c>
      <c r="X3" t="n" s="6">
        <v>591.09</v>
      </c>
      <c r="Y3" t="n" s="6">
        <v>64.59</v>
      </c>
      <c r="Z3" t="n" s="6">
        <v>0.0</v>
      </c>
    </row>
    <row r="4">
      <c r="A4" t="s" s="7">
        <v>26</v>
      </c>
      <c r="B4" t="s" s="7">
        <v>75</v>
      </c>
      <c r="C4" s="2"/>
      <c r="D4" s="2"/>
      <c r="E4" s="2"/>
      <c r="F4" s="2"/>
      <c r="G4" s="2"/>
      <c r="H4" t="n" s="6">
        <v>0.0</v>
      </c>
      <c r="I4" t="n" s="6">
        <v>9200.0</v>
      </c>
      <c r="J4" s="2"/>
      <c r="K4" s="2"/>
      <c r="L4" t="n" s="6">
        <v>0.0</v>
      </c>
      <c r="M4" s="2"/>
      <c r="N4" s="2"/>
      <c r="O4" s="2"/>
      <c r="P4" t="n" s="6">
        <v>19.0</v>
      </c>
      <c r="Q4" s="2"/>
      <c r="R4" t="n" s="6">
        <v>2.0</v>
      </c>
      <c r="S4" t="n" s="6">
        <v>4600.0</v>
      </c>
      <c r="T4" t="n" s="6">
        <v>0.0</v>
      </c>
      <c r="U4" t="n" s="6">
        <v>0.0</v>
      </c>
      <c r="V4" t="n" s="6">
        <v>4600.0</v>
      </c>
      <c r="W4" t="n" s="6">
        <v>0.0</v>
      </c>
      <c r="X4" t="n" s="6">
        <v>660.0</v>
      </c>
      <c r="Y4" t="n" s="6">
        <v>660.0</v>
      </c>
      <c r="Z4" t="n" s="6">
        <v>0.0</v>
      </c>
    </row>
    <row r="5">
      <c r="A5" t="s" s="7">
        <v>43</v>
      </c>
      <c r="B5" t="s" s="7">
        <v>76</v>
      </c>
      <c r="C5" s="2"/>
      <c r="D5" s="2"/>
      <c r="E5" s="2"/>
      <c r="F5" s="2"/>
      <c r="G5" s="2"/>
      <c r="H5" t="n" s="6">
        <v>0.0</v>
      </c>
      <c r="I5" t="n" s="6">
        <v>5823.8</v>
      </c>
      <c r="J5" s="2"/>
      <c r="K5" s="2"/>
      <c r="L5" t="n" s="6">
        <v>0.0</v>
      </c>
      <c r="M5" s="2"/>
      <c r="N5" s="2"/>
      <c r="O5" s="2"/>
      <c r="P5" t="n" s="6">
        <v>93.0</v>
      </c>
      <c r="Q5" s="2"/>
      <c r="R5" t="n" s="6">
        <v>2.0</v>
      </c>
      <c r="S5" t="n" s="6">
        <v>2700.0</v>
      </c>
      <c r="T5" t="n" s="6">
        <v>0.0</v>
      </c>
      <c r="U5" t="n" s="6">
        <v>0.0</v>
      </c>
      <c r="V5" t="n" s="6">
        <v>4123.8</v>
      </c>
      <c r="W5" t="n" s="6">
        <v>0.0</v>
      </c>
      <c r="X5" t="n" s="6">
        <v>230.0</v>
      </c>
      <c r="Y5" t="n" s="6">
        <v>680.0</v>
      </c>
      <c r="Z5" t="n" s="6">
        <v>0.0</v>
      </c>
    </row>
    <row r="6">
      <c r="A6" t="s" s="7">
        <v>68</v>
      </c>
      <c r="B6" t="s" s="7">
        <v>77</v>
      </c>
      <c r="C6" s="2"/>
      <c r="D6" s="2"/>
      <c r="E6" s="2"/>
      <c r="F6" s="2"/>
      <c r="G6" s="2"/>
      <c r="H6" t="n" s="6">
        <v>0.0</v>
      </c>
      <c r="I6" t="n" s="6">
        <v>69081.02</v>
      </c>
      <c r="J6" s="2"/>
      <c r="K6" s="2"/>
      <c r="L6" t="n" s="6">
        <v>0.0</v>
      </c>
      <c r="M6" s="2"/>
      <c r="N6" s="2"/>
      <c r="O6" s="2"/>
      <c r="P6" t="n" s="6">
        <v>36.0</v>
      </c>
      <c r="Q6" s="2"/>
      <c r="R6" t="n" s="6">
        <v>2.0</v>
      </c>
      <c r="S6" t="n" s="6">
        <v>14000.0</v>
      </c>
      <c r="T6" t="n" s="6">
        <v>74000.0</v>
      </c>
      <c r="U6" t="n" s="6">
        <v>2740.0</v>
      </c>
      <c r="V6" t="n" s="6">
        <v>81240.0</v>
      </c>
      <c r="W6" t="n" s="6">
        <v>4420.0</v>
      </c>
      <c r="X6" t="n" s="6">
        <v>5260.0</v>
      </c>
      <c r="Y6" t="n" s="6">
        <v>840.0</v>
      </c>
      <c r="Z6" t="n" s="6">
        <v>0.0</v>
      </c>
    </row>
    <row r="7">
      <c r="A7" t="s" s="4">
        <v>78</v>
      </c>
      <c r="B7" t="s" s="4">
        <v>79</v>
      </c>
      <c r="C7" s="4"/>
      <c r="D7" s="4"/>
      <c r="E7" s="4"/>
      <c r="F7" s="4"/>
      <c r="G7" s="4"/>
      <c r="H7" s="5">
        <f>SUM(H2:H6)</f>
      </c>
      <c r="I7" s="5">
        <f>SUM(I2:I6)</f>
      </c>
      <c r="J7" s="4"/>
      <c r="K7" s="4"/>
      <c r="L7" s="5">
        <f>SUM(L2:L6)</f>
      </c>
      <c r="M7" s="4"/>
      <c r="N7" s="4"/>
      <c r="O7" s="4"/>
      <c r="P7" s="5">
        <f>SUM(P2:P6)</f>
      </c>
      <c r="Q7" s="4"/>
      <c r="R7" s="5">
        <f>SUM(R2:R6)</f>
      </c>
      <c r="S7" s="5">
        <f>SUM(S2:S6)</f>
      </c>
      <c r="T7" s="5">
        <f>SUM(T2:T6)</f>
      </c>
      <c r="U7" s="5">
        <f>SUM(U2:U6)</f>
      </c>
      <c r="V7" s="5">
        <f>SUM(V2:V6)</f>
      </c>
      <c r="W7" s="5">
        <f>SUM(W2:W6)</f>
      </c>
      <c r="X7" s="5">
        <f>SUM(X2:X6)</f>
      </c>
      <c r="Y7" s="5">
        <f>SUM(Y2:Y6)</f>
      </c>
      <c r="Z7" s="5">
        <f>SUM(Z2:Z6)</f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7578125" customWidth="true" bestFit="true"/>
    <col min="2" max="2" width="23.3046875" customWidth="true" bestFit="true"/>
    <col min="3" max="3" width="23.9140625" customWidth="true" bestFit="true"/>
    <col min="4" max="4" width="22.79296875" customWidth="true" bestFit="true"/>
    <col min="5" max="5" width="21.84765625" customWidth="true" bestFit="true"/>
    <col min="6" max="6" width="25.94140625" customWidth="true" bestFit="true"/>
    <col min="7" max="7" width="30.87890625" customWidth="true" bestFit="true"/>
    <col min="8" max="8" width="27.64453125" customWidth="true" bestFit="true"/>
    <col min="9" max="9" width="42.87890625" customWidth="true" bestFit="true"/>
    <col min="10" max="10" width="11.30078125" customWidth="true" bestFit="true"/>
    <col min="11" max="11" width="9.8125" customWidth="true" bestFit="true"/>
    <col min="12" max="12" width="12.859375" customWidth="true" bestFit="true"/>
  </cols>
  <sheetData>
    <row r="1">
      <c r="A1" t="s" s="1">
        <v>80</v>
      </c>
      <c r="B1" t="s" s="1">
        <v>81</v>
      </c>
      <c r="C1" t="s" s="1">
        <v>24</v>
      </c>
      <c r="D1" t="s" s="1">
        <v>82</v>
      </c>
      <c r="E1" t="s" s="1">
        <v>83</v>
      </c>
      <c r="F1" t="s" s="1">
        <v>84</v>
      </c>
      <c r="G1" t="s" s="1">
        <v>85</v>
      </c>
      <c r="H1" t="s" s="1">
        <v>86</v>
      </c>
      <c r="I1" t="s" s="1">
        <v>87</v>
      </c>
      <c r="J1" t="s" s="1">
        <v>88</v>
      </c>
      <c r="K1" t="s" s="1">
        <v>89</v>
      </c>
      <c r="L1" t="s" s="1">
        <v>90</v>
      </c>
    </row>
    <row r="2">
      <c r="A2" t="s" s="7">
        <v>55</v>
      </c>
      <c r="B2" t="n" s="6">
        <v>607.2</v>
      </c>
      <c r="C2" t="n" s="6">
        <v>141.32</v>
      </c>
      <c r="D2" t="n" s="6">
        <v>0.0</v>
      </c>
      <c r="E2" s="6">
        <f>C2+D2</f>
      </c>
      <c r="F2" s="6">
        <f>IF(B2=0,0,IF(B2&lt;E2,0,B2-E2))</f>
      </c>
      <c r="G2" s="6">
        <f>IF(B2=0,0,IF(B2&gt;E2,E2,B2))</f>
      </c>
      <c r="H2" s="6">
        <f>E2-G2</f>
      </c>
      <c r="I2" t="s" s="7">
        <v>91</v>
      </c>
      <c r="J2" t="s" s="7">
        <v>48</v>
      </c>
      <c r="K2" t="n" s="6">
        <v>0.0</v>
      </c>
      <c r="L2" t="s" s="7">
        <v>73</v>
      </c>
    </row>
    <row r="3">
      <c r="A3" t="s" s="7">
        <v>33</v>
      </c>
      <c r="B3" t="n" s="6">
        <v>591.09</v>
      </c>
      <c r="C3" t="n" s="6">
        <v>64.59</v>
      </c>
      <c r="D3" t="n" s="6">
        <v>0.0</v>
      </c>
      <c r="E3" s="6">
        <f>C3+D3</f>
      </c>
      <c r="F3" s="6">
        <f>IF(B3=0,0,IF(B3&lt;E3,0,B3-E3))</f>
      </c>
      <c r="G3" s="6">
        <f>IF(B3=0,0,IF(B3&gt;E3,E3,B3))</f>
      </c>
      <c r="H3" s="6">
        <f>E3-G3</f>
      </c>
      <c r="I3" t="s" s="7">
        <v>91</v>
      </c>
      <c r="J3" t="s" s="7">
        <v>48</v>
      </c>
      <c r="K3" t="n" s="6">
        <v>0.0</v>
      </c>
      <c r="L3" t="s" s="7">
        <v>74</v>
      </c>
    </row>
    <row r="4">
      <c r="A4" t="s" s="7">
        <v>26</v>
      </c>
      <c r="B4" t="n" s="6">
        <v>660.0</v>
      </c>
      <c r="C4" t="n" s="6">
        <v>660.0</v>
      </c>
      <c r="D4" t="n" s="6">
        <v>0.0</v>
      </c>
      <c r="E4" s="6">
        <f>C4+D4</f>
      </c>
      <c r="F4" s="6">
        <f>IF(B4=0,0,IF(B4&lt;E4,0,B4-E4))</f>
      </c>
      <c r="G4" s="6">
        <f>IF(B4=0,0,IF(B4&gt;E4,E4,B4))</f>
      </c>
      <c r="H4" s="6">
        <f>E4-G4</f>
      </c>
      <c r="I4" t="s" s="7">
        <v>91</v>
      </c>
      <c r="J4" t="s" s="7">
        <v>79</v>
      </c>
      <c r="K4" t="n" s="6">
        <v>0.0</v>
      </c>
      <c r="L4" t="s" s="7">
        <v>75</v>
      </c>
    </row>
    <row r="5">
      <c r="A5" t="s" s="7">
        <v>43</v>
      </c>
      <c r="B5" t="n" s="6">
        <v>230.0</v>
      </c>
      <c r="C5" t="n" s="6">
        <v>680.0</v>
      </c>
      <c r="D5" t="n" s="6">
        <v>0.0</v>
      </c>
      <c r="E5" s="6">
        <f>C5+D5</f>
      </c>
      <c r="F5" s="6">
        <f>IF(B5=0,0,IF(B5&lt;E5,0,B5-E5))</f>
      </c>
      <c r="G5" s="6">
        <f>IF(B5=0,0,IF(B5&gt;E5,E5,B5))</f>
      </c>
      <c r="H5" s="6">
        <f>E5-G5</f>
      </c>
      <c r="I5" t="s" s="7">
        <v>92</v>
      </c>
      <c r="J5" t="s" s="7">
        <v>79</v>
      </c>
      <c r="K5" t="n" s="6">
        <v>0.0</v>
      </c>
      <c r="L5" t="s" s="7">
        <v>76</v>
      </c>
    </row>
    <row r="6">
      <c r="A6" t="s" s="7">
        <v>68</v>
      </c>
      <c r="B6" t="n" s="6">
        <v>5260.0</v>
      </c>
      <c r="C6" t="n" s="6">
        <v>840.0</v>
      </c>
      <c r="D6" t="n" s="6">
        <v>0.0</v>
      </c>
      <c r="E6" s="6">
        <f>C6+D6</f>
      </c>
      <c r="F6" s="6">
        <f>IF(B6=0,0,IF(B6&lt;E6,0,B6-E6))</f>
      </c>
      <c r="G6" s="6">
        <f>IF(B6=0,0,IF(B6&gt;E6,E6,B6))</f>
      </c>
      <c r="H6" s="6">
        <f>E6-G6</f>
      </c>
      <c r="I6" t="s" s="7">
        <v>91</v>
      </c>
      <c r="J6" t="s" s="7">
        <v>48</v>
      </c>
      <c r="K6" t="n" s="6">
        <v>0.0</v>
      </c>
      <c r="L6" t="s" s="7">
        <v>77</v>
      </c>
    </row>
    <row r="7">
      <c r="A7" t="s" s="4">
        <v>78</v>
      </c>
      <c r="B7" s="5">
        <f>SUM(B2:B6)</f>
      </c>
      <c r="C7" s="5">
        <f>SUM(C2:C6)</f>
      </c>
      <c r="D7" s="5">
        <f>SUM(D2:D6)</f>
      </c>
      <c r="E7" s="5">
        <f>SUM(E2:E6)</f>
      </c>
      <c r="F7" s="5">
        <f>SUM(F2:F6)</f>
      </c>
      <c r="G7" s="5">
        <f>SUM(G2:G6)</f>
      </c>
      <c r="H7" s="5">
        <f>SUM(H2:H6)</f>
      </c>
      <c r="I7" s="4"/>
      <c r="J7" s="4"/>
      <c r="K7" s="5">
        <f>SUM(K2:K6)</f>
      </c>
      <c r="L7" s="4"/>
    </row>
    <row r="8"/>
    <row r="9">
      <c r="A9" t="s" s="8">
        <v>93</v>
      </c>
    </row>
    <row r="10">
      <c r="A10" t="s" s="9">
        <v>0</v>
      </c>
      <c r="B10" t="s" s="9">
        <v>94</v>
      </c>
      <c r="C10" t="s" s="9">
        <v>95</v>
      </c>
      <c r="D10" t="s" s="9">
        <v>96</v>
      </c>
    </row>
    <row r="11">
      <c r="A11" t="s" s="7">
        <v>55</v>
      </c>
      <c r="B11" t="s" s="7">
        <v>79</v>
      </c>
      <c r="C11" t="s" s="7">
        <v>79</v>
      </c>
      <c r="D11" t="n" s="6">
        <v>465.88000000000005</v>
      </c>
    </row>
    <row r="12">
      <c r="A12" t="s" s="7">
        <v>33</v>
      </c>
      <c r="B12" t="s" s="7">
        <v>79</v>
      </c>
      <c r="C12" t="s" s="7">
        <v>79</v>
      </c>
      <c r="D12" t="n" s="6">
        <v>526.5</v>
      </c>
    </row>
    <row r="13">
      <c r="A13" t="s" s="7">
        <v>68</v>
      </c>
      <c r="B13" t="s" s="7">
        <v>79</v>
      </c>
      <c r="C13" t="s" s="7">
        <v>79</v>
      </c>
      <c r="D13" t="n" s="6">
        <v>4420.0</v>
      </c>
    </row>
    <row r="14">
      <c r="A14" t="s" s="4">
        <v>97</v>
      </c>
      <c r="B14" t="s" s="4">
        <v>79</v>
      </c>
      <c r="C14" t="s" s="4">
        <v>79</v>
      </c>
      <c r="D14" s="5">
        <f>SUM(D11:D14)</f>
      </c>
    </row>
    <row r="15"/>
    <row r="16">
      <c r="A16" t="s" s="8">
        <v>98</v>
      </c>
    </row>
    <row r="17">
      <c r="A17" t="s" s="9">
        <v>0</v>
      </c>
      <c r="B17" t="s" s="9">
        <v>96</v>
      </c>
    </row>
    <row r="18">
      <c r="A18" t="s" s="7">
        <v>55</v>
      </c>
      <c r="B18" t="n" s="6">
        <v>465.88000000000005</v>
      </c>
    </row>
    <row r="19">
      <c r="A19" t="s" s="7">
        <v>33</v>
      </c>
      <c r="B19" t="n" s="6">
        <v>526.5</v>
      </c>
    </row>
    <row r="20">
      <c r="A20" t="s" s="7">
        <v>68</v>
      </c>
      <c r="B20" t="n" s="6">
        <v>4420.0</v>
      </c>
    </row>
    <row r="21">
      <c r="A21" t="s" s="4">
        <v>99</v>
      </c>
      <c r="B21" s="5">
        <f>SUM(B18:B21)</f>
      </c>
    </row>
    <row r="22"/>
    <row r="23">
      <c r="A23" t="s" s="8">
        <v>100</v>
      </c>
    </row>
    <row r="24">
      <c r="A24" t="s" s="9">
        <v>0</v>
      </c>
      <c r="B24" t="s" s="9">
        <v>101</v>
      </c>
      <c r="C24" t="s" s="9">
        <v>102</v>
      </c>
    </row>
    <row r="25">
      <c r="A25" t="s" s="7">
        <v>43</v>
      </c>
      <c r="B25" t="n" s="6">
        <v>230.0</v>
      </c>
      <c r="C25" t="n" s="6">
        <v>450.0</v>
      </c>
    </row>
    <row r="26">
      <c r="A26" t="s" s="4">
        <v>103</v>
      </c>
      <c r="B26" s="5">
        <f>SUM(B25:B26)</f>
      </c>
      <c r="C26" s="5">
        <f>SUM(C25:C26)</f>
      </c>
    </row>
    <row r="2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2026-04-29T11:54:14Z</dcterms:created>
  <dc:creator>Apache POI</dc:creator>
</cp:coreProperties>
</file>