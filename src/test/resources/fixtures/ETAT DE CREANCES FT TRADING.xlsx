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spreadsheetml.externalLink+xml" PartName="/xl/externalLinks/externalLink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pivotCacheRecords+xml" PartName="/xl/pivotCache/pivotCacheRecords1.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showObjects="placeholders" codeName="ThisWorkbook" defaultThemeVersion="124226"/>
  <mc:AlternateContent>
    <mc:Choice Requires="x15">
      <x15ac:absPath xmlns:x15ac="http://schemas.microsoft.com/office/spreadsheetml/2010/11/ac" url="C:\Dropbox\ZEKI IT\FT TRADING\Etat des créances\"/>
    </mc:Choice>
  </mc:AlternateContent>
  <xr:revisionPtr revIDLastSave="0" documentId="13_ncr:1_{A1E61A60-454C-4BA0-876F-05D38984AF21}" xr6:coauthVersionLast="47" xr6:coauthVersionMax="47" xr10:uidLastSave="{00000000-0000-0000-0000-000000000000}"/>
  <bookViews>
    <workbookView xWindow="-98" yWindow="-98" windowWidth="19396" windowHeight="7576" tabRatio="780" xr2:uid="{00000000-000D-0000-FFFF-FFFF00000000}"/>
  </bookViews>
  <sheets>
    <sheet name="Créances" sheetId="1" r:id="rId1"/>
    <sheet name="Facture en préparation" sheetId="10" r:id="rId2"/>
    <sheet name="Facture de vente" sheetId="19" r:id="rId3"/>
    <sheet name="Facture de procedure" sheetId="20" r:id="rId4"/>
    <sheet name="CI" sheetId="18" r:id="rId5"/>
    <sheet name="Etat Public" sheetId="11" r:id="rId6"/>
    <sheet name="LettreN" sheetId="21" r:id="rId7"/>
    <sheet name="LettreT" sheetId="22" r:id="rId8"/>
    <sheet name="Lettre2" sheetId="23" r:id="rId9"/>
    <sheet name="Lettres Phénix" sheetId="9" r:id="rId10"/>
    <sheet name="Infos" sheetId="12" r:id="rId11"/>
  </sheets>
  <externalReferences>
    <externalReference r:id="rId12"/>
  </externalReferences>
  <definedNames>
    <definedName name="Prestations" localSheetId="4">#REF!</definedName>
    <definedName name="Prestations" localSheetId="3">'Facture de procedure'!$H$18:$H$23</definedName>
    <definedName name="Prestations" localSheetId="2">#REF!</definedName>
    <definedName name="Prestations" localSheetId="8">#REF!</definedName>
    <definedName name="Prestations" localSheetId="6">#REF!</definedName>
    <definedName name="Prestations" localSheetId="7">#REF!</definedName>
    <definedName name="Prestations">#REF!</definedName>
    <definedName name="produits" localSheetId="4">'[1]Facture de vente'!$H$23:$H$28</definedName>
    <definedName name="produits" localSheetId="3">'[1]Facture de vente'!$H$23:$H$28</definedName>
    <definedName name="produits" localSheetId="2">'Facture de vente'!$H$23:$H$28</definedName>
    <definedName name="produits" localSheetId="8">'[1]Facture de vente'!$H$23:$H$28</definedName>
    <definedName name="produits" localSheetId="6">'[1]Facture de vente'!$H$23:$H$28</definedName>
    <definedName name="produits" localSheetId="7">'[1]Facture de vente'!$H$23:$H$28</definedName>
    <definedName name="produits">#REF!</definedName>
    <definedName name="puhtv" localSheetId="4">'[1]Facture de vente'!$J$23:$J$56</definedName>
    <definedName name="puhtv" localSheetId="3">'[1]Facture de vente'!$J$23:$J$56</definedName>
    <definedName name="puhtv" localSheetId="2">'Facture de vente'!$J$23:$J$56</definedName>
    <definedName name="puhtv" localSheetId="8">'[1]Facture de vente'!$J$23:$J$56</definedName>
    <definedName name="puhtv" localSheetId="6">'[1]Facture de vente'!$J$23:$J$56</definedName>
    <definedName name="puhtv" localSheetId="7">'[1]Facture de vente'!$J$23:$J$56</definedName>
    <definedName name="puhtv">#REF!</definedName>
    <definedName name="Quantitesv" localSheetId="4">'[1]Facture de vente'!$I$23:$I$39</definedName>
    <definedName name="Quantitesv" localSheetId="3">'[1]Facture de vente'!$I$23:$I$39</definedName>
    <definedName name="Quantitesv" localSheetId="2">'Facture de vente'!$I$23:$I$39</definedName>
    <definedName name="Quantitesv" localSheetId="8">'[1]Facture de vente'!$I$23:$I$39</definedName>
    <definedName name="Quantitesv" localSheetId="6">'[1]Facture de vente'!$I$23:$I$39</definedName>
    <definedName name="Quantitesv" localSheetId="7">'[1]Facture de vente'!$I$23:$I$39</definedName>
    <definedName name="Quantitesv">#REF!</definedName>
    <definedName name="RECHERCHEV" localSheetId="8">Lettre2!$K$47</definedName>
    <definedName name="RECHERCHEV" localSheetId="6">LettreN!$K$47</definedName>
    <definedName name="RECHERCHEV" localSheetId="7">LettreT!$K$44</definedName>
    <definedName name="Services" localSheetId="3">'Facture de procedure'!$H$19:$H$24</definedName>
    <definedName name="_xlnm.Print_Area" localSheetId="4">CI!$A$1:$F$67</definedName>
    <definedName name="_xlnm.Print_Area" localSheetId="3">'Facture de procedure'!$A$1:$G$67</definedName>
    <definedName name="_xlnm.Print_Area" localSheetId="2">'Facture de vente'!$A$1:$G$66</definedName>
    <definedName name="_xlnm.Print_Area" localSheetId="1">'Facture en préparation'!$A$1:$G$56</definedName>
    <definedName name="_xlnm.Print_Area" localSheetId="8">Lettre2!$A$1:$F$62</definedName>
    <definedName name="_xlnm.Print_Area" localSheetId="6">LettreN!$A$1:$F$64</definedName>
    <definedName name="_xlnm.Print_Area" localSheetId="7">LettreT!$A$1:$F$62</definedName>
  </definedNames>
  <calcPr calcId="191029"/>
  <pivotCaches>
    <pivotCache cacheId="3" r:id="rId13"/>
    <pivotCache cacheId="4" r:id="rId1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7" i="1" l="1"/>
  <c r="U6" i="1"/>
  <c r="U7" i="1"/>
  <c r="T7" i="1"/>
  <c r="T5" i="1"/>
  <c r="T6" i="1"/>
  <c r="V18" i="1"/>
  <c r="W18" i="1"/>
  <c r="V19" i="1"/>
  <c r="W19" i="1"/>
  <c r="V20" i="1"/>
  <c r="W20" i="1"/>
  <c r="V21" i="1"/>
  <c r="W21" i="1"/>
  <c r="V22" i="1"/>
  <c r="W22" i="1"/>
  <c r="V23" i="1"/>
  <c r="W23" i="1"/>
  <c r="V24" i="1"/>
  <c r="W24" i="1"/>
  <c r="V25" i="1"/>
  <c r="W25" i="1"/>
  <c r="V26" i="1"/>
  <c r="W26" i="1"/>
  <c r="V27" i="1"/>
  <c r="W27" i="1"/>
  <c r="V28" i="1"/>
  <c r="W28" i="1"/>
  <c r="V29" i="1"/>
  <c r="W29" i="1"/>
  <c r="V30" i="1"/>
  <c r="W30" i="1"/>
  <c r="V31" i="1"/>
  <c r="W31" i="1"/>
  <c r="V32" i="1"/>
  <c r="W32" i="1"/>
  <c r="V33" i="1"/>
  <c r="W33" i="1"/>
  <c r="V34" i="1"/>
  <c r="W34" i="1"/>
  <c r="V35" i="1"/>
  <c r="W35" i="1"/>
  <c r="V36" i="1"/>
  <c r="W36" i="1"/>
  <c r="V37" i="1"/>
  <c r="W37" i="1"/>
  <c r="V38" i="1"/>
  <c r="W38" i="1"/>
  <c r="V39" i="1"/>
  <c r="W39" i="1"/>
  <c r="V40" i="1"/>
  <c r="W40" i="1"/>
  <c r="V41" i="1"/>
  <c r="W41" i="1"/>
  <c r="V42" i="1"/>
  <c r="W42" i="1"/>
  <c r="V43" i="1"/>
  <c r="W43" i="1"/>
  <c r="V44" i="1"/>
  <c r="W44" i="1"/>
  <c r="V45" i="1"/>
  <c r="W45" i="1"/>
  <c r="V46" i="1"/>
  <c r="W46" i="1"/>
  <c r="V47" i="1"/>
  <c r="W47" i="1"/>
  <c r="V48" i="1"/>
  <c r="W48" i="1"/>
  <c r="V49" i="1"/>
  <c r="W49" i="1"/>
  <c r="U17" i="1"/>
  <c r="W17" i="1" s="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17" i="1"/>
  <c r="M15" i="9"/>
  <c r="M16" i="9"/>
  <c r="M17" i="9"/>
  <c r="M18" i="9"/>
  <c r="M19" i="9"/>
  <c r="M20" i="9"/>
  <c r="M21" i="9"/>
  <c r="M22" i="9"/>
  <c r="M23" i="9"/>
  <c r="M24" i="9"/>
  <c r="M25" i="9"/>
  <c r="M26" i="9"/>
  <c r="M27" i="9"/>
  <c r="M28" i="9"/>
  <c r="M29" i="9"/>
  <c r="M30" i="9"/>
  <c r="M31" i="9"/>
  <c r="M32" i="9"/>
  <c r="M33" i="9"/>
  <c r="M34" i="9"/>
  <c r="M35" i="9"/>
  <c r="M36" i="9"/>
  <c r="M37" i="9"/>
  <c r="M38" i="9"/>
  <c r="M39" i="9"/>
  <c r="M40" i="9"/>
  <c r="M41" i="9"/>
  <c r="M42" i="9"/>
  <c r="M43" i="9"/>
  <c r="M44" i="9"/>
  <c r="M45" i="9"/>
  <c r="M46" i="9"/>
  <c r="M47" i="9"/>
  <c r="M48" i="9"/>
  <c r="M49" i="9"/>
  <c r="M50" i="9"/>
  <c r="M51" i="9"/>
  <c r="M52" i="9"/>
  <c r="M53" i="9"/>
  <c r="M54" i="9"/>
  <c r="M55" i="9"/>
  <c r="M56" i="9"/>
  <c r="M57" i="9"/>
  <c r="M58" i="9"/>
  <c r="M59" i="9"/>
  <c r="M60" i="9"/>
  <c r="M61" i="9"/>
  <c r="M62" i="9"/>
  <c r="M63" i="9"/>
  <c r="M64" i="9"/>
  <c r="M65" i="9"/>
  <c r="M66" i="9"/>
  <c r="M67" i="9"/>
  <c r="M68" i="9"/>
  <c r="M69" i="9"/>
  <c r="M70" i="9"/>
  <c r="M71" i="9"/>
  <c r="M72" i="9"/>
  <c r="M73" i="9"/>
  <c r="M74" i="9"/>
  <c r="M75" i="9"/>
  <c r="M76" i="9"/>
  <c r="M77" i="9"/>
  <c r="M78" i="9"/>
  <c r="M79" i="9"/>
  <c r="M80" i="9"/>
  <c r="M81" i="9"/>
  <c r="M82" i="9"/>
  <c r="M83" i="9"/>
  <c r="M84" i="9"/>
  <c r="M85" i="9"/>
  <c r="M86" i="9"/>
  <c r="M87" i="9"/>
  <c r="M88" i="9"/>
  <c r="M89" i="9"/>
  <c r="M90" i="9"/>
  <c r="M91" i="9"/>
  <c r="M92" i="9"/>
  <c r="M93" i="9"/>
  <c r="M94" i="9"/>
  <c r="M95" i="9"/>
  <c r="M96" i="9"/>
  <c r="M97" i="9"/>
  <c r="M98" i="9"/>
  <c r="M99" i="9"/>
  <c r="M100" i="9"/>
  <c r="M101" i="9"/>
  <c r="M102" i="9"/>
  <c r="M103" i="9"/>
  <c r="M104" i="9"/>
  <c r="M105" i="9"/>
  <c r="M106" i="9"/>
  <c r="M107" i="9"/>
  <c r="M108" i="9"/>
  <c r="M109" i="9"/>
  <c r="M14" i="9"/>
  <c r="X17" i="1" l="1"/>
  <c r="H19" i="23"/>
  <c r="E55" i="23"/>
  <c r="K42" i="23"/>
  <c r="K43" i="23" s="1"/>
  <c r="B14" i="23"/>
  <c r="H16" i="22"/>
  <c r="E54" i="22"/>
  <c r="K39" i="22"/>
  <c r="K40" i="22" s="1"/>
  <c r="B37" i="22"/>
  <c r="F35" i="22"/>
  <c r="B35" i="22"/>
  <c r="F34" i="22"/>
  <c r="B23" i="22"/>
  <c r="B14" i="22"/>
  <c r="H19" i="21"/>
  <c r="E56" i="21"/>
  <c r="K42" i="21"/>
  <c r="K43" i="21" s="1"/>
  <c r="B40" i="21"/>
  <c r="B38" i="21"/>
  <c r="B26" i="21"/>
  <c r="B14" i="21"/>
  <c r="A32" i="20"/>
  <c r="D23" i="20"/>
  <c r="D22" i="20"/>
  <c r="D21" i="20"/>
  <c r="D20" i="20"/>
  <c r="D19" i="20"/>
  <c r="A62" i="20"/>
  <c r="B53" i="20"/>
  <c r="B51" i="20"/>
  <c r="D43" i="20"/>
  <c r="B14" i="20"/>
  <c r="A32" i="19"/>
  <c r="D20" i="19"/>
  <c r="D19" i="19"/>
  <c r="D18" i="19"/>
  <c r="D17" i="19"/>
  <c r="D16" i="19"/>
  <c r="B53" i="19"/>
  <c r="B51" i="19"/>
  <c r="E42" i="19"/>
  <c r="E41" i="19"/>
  <c r="E40" i="19"/>
  <c r="E39" i="19"/>
  <c r="E38" i="19"/>
  <c r="E37" i="19"/>
  <c r="E36" i="19"/>
  <c r="E35" i="19"/>
  <c r="B12" i="19"/>
  <c r="D20" i="18"/>
  <c r="D19" i="18"/>
  <c r="D18" i="18"/>
  <c r="D17" i="18"/>
  <c r="D16" i="18"/>
  <c r="A45" i="18"/>
  <c r="A43" i="18"/>
  <c r="K38" i="18"/>
  <c r="K39" i="18" s="1"/>
  <c r="B14" i="18"/>
  <c r="B41" i="18"/>
  <c r="E43" i="19" l="1"/>
  <c r="D44" i="20"/>
  <c r="D45" i="20" s="1"/>
  <c r="C52" i="20" s="1"/>
  <c r="E44" i="19"/>
  <c r="E45" i="19" s="1"/>
  <c r="C52" i="19" s="1"/>
  <c r="C52" i="18"/>
  <c r="E16" i="22"/>
  <c r="C41" i="18"/>
  <c r="J16" i="22"/>
  <c r="F37" i="23"/>
  <c r="F33" i="22"/>
  <c r="E17" i="23"/>
  <c r="J19" i="21"/>
  <c r="F36" i="21"/>
  <c r="E17" i="21"/>
  <c r="J19" i="23"/>
  <c r="F36" i="23"/>
  <c r="F38" i="23"/>
  <c r="F44" i="23" l="1"/>
  <c r="F41" i="23"/>
  <c r="D34" i="23"/>
  <c r="B28" i="23"/>
  <c r="E56" i="23" s="1"/>
  <c r="B25" i="22"/>
  <c r="E55" i="22" s="1"/>
  <c r="F37" i="22"/>
  <c r="D31" i="22"/>
  <c r="E57" i="21"/>
  <c r="B28" i="21"/>
  <c r="C53" i="18"/>
  <c r="D8" i="10"/>
  <c r="E8" i="10"/>
  <c r="C9" i="1" l="1"/>
  <c r="T50" i="1" l="1"/>
  <c r="R50" i="1"/>
  <c r="I50" i="1"/>
  <c r="H50" i="1"/>
  <c r="E6" i="10" l="1"/>
  <c r="A13" i="11" s="1"/>
  <c r="E7" i="10"/>
  <c r="A14" i="11" s="1"/>
  <c r="A15" i="11"/>
  <c r="M18" i="1" l="1"/>
  <c r="M19" i="1"/>
  <c r="M20" i="1"/>
  <c r="M21" i="1"/>
  <c r="M22" i="1"/>
  <c r="M23" i="1"/>
  <c r="M24" i="1"/>
  <c r="M25" i="1"/>
  <c r="M26" i="1"/>
  <c r="M27" i="1"/>
  <c r="M28" i="1"/>
  <c r="M29" i="1"/>
  <c r="M30" i="1"/>
  <c r="M31" i="1"/>
  <c r="M32" i="1"/>
  <c r="M33" i="1"/>
  <c r="M34" i="1"/>
  <c r="M35" i="1"/>
  <c r="M36" i="1"/>
  <c r="M37" i="1"/>
  <c r="M38" i="1"/>
  <c r="M39" i="1"/>
  <c r="M40" i="1"/>
  <c r="M41" i="1"/>
  <c r="M42" i="1"/>
  <c r="M43" i="1"/>
  <c r="M44" i="1"/>
  <c r="M45" i="1"/>
  <c r="N45" i="1" s="1"/>
  <c r="M46" i="1"/>
  <c r="N46" i="1" s="1"/>
  <c r="M47" i="1"/>
  <c r="N47" i="1" s="1"/>
  <c r="M48" i="1"/>
  <c r="N48" i="1" s="1"/>
  <c r="M49" i="1"/>
  <c r="N49" i="1" s="1"/>
  <c r="M17" i="1"/>
  <c r="F38" i="21"/>
  <c r="G15" i="9" l="1"/>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4" i="9"/>
  <c r="B10" i="9" l="1"/>
  <c r="C10" i="9" l="1"/>
  <c r="C10" i="1" l="1"/>
  <c r="G6" i="9"/>
  <c r="G7" i="9"/>
  <c r="G9" i="9"/>
  <c r="G5" i="9"/>
  <c r="B45" i="10" l="1"/>
  <c r="E9" i="10" l="1"/>
  <c r="A16" i="11" s="1"/>
  <c r="C37" i="10" l="1"/>
  <c r="C36" i="10"/>
  <c r="C38" i="10" l="1"/>
  <c r="A15" i="10"/>
  <c r="A19" i="11" s="1"/>
  <c r="E5" i="10"/>
  <c r="A12" i="11" s="1"/>
  <c r="O47" i="1"/>
  <c r="P47" i="1" s="1"/>
  <c r="Q47" i="1" s="1"/>
  <c r="O48" i="1"/>
  <c r="P48" i="1" s="1"/>
  <c r="Q48" i="1" s="1"/>
  <c r="O49" i="1"/>
  <c r="P49" i="1" s="1"/>
  <c r="Q49" i="1" s="1"/>
  <c r="U47" i="1"/>
  <c r="U48" i="1"/>
  <c r="U49" i="1"/>
  <c r="U38" i="1"/>
  <c r="U39" i="1"/>
  <c r="U40" i="1"/>
  <c r="U41" i="1"/>
  <c r="U42" i="1"/>
  <c r="U43" i="1"/>
  <c r="U44" i="1"/>
  <c r="U45" i="1"/>
  <c r="U46" i="1"/>
  <c r="U18" i="1"/>
  <c r="U19" i="1"/>
  <c r="U20" i="1"/>
  <c r="U21" i="1"/>
  <c r="U22" i="1"/>
  <c r="U23" i="1"/>
  <c r="U24" i="1"/>
  <c r="U25" i="1"/>
  <c r="U26" i="1"/>
  <c r="U27" i="1"/>
  <c r="U28" i="1"/>
  <c r="U29" i="1"/>
  <c r="U30" i="1"/>
  <c r="U31" i="1"/>
  <c r="U32" i="1"/>
  <c r="U33" i="1"/>
  <c r="U34" i="1"/>
  <c r="U35" i="1"/>
  <c r="U36" i="1"/>
  <c r="U37" i="1"/>
  <c r="O45" i="1"/>
  <c r="P45" i="1" s="1"/>
  <c r="Q45" i="1" s="1"/>
  <c r="O46" i="1"/>
  <c r="P46" i="1" s="1"/>
  <c r="Q46" i="1" s="1"/>
  <c r="C30" i="10"/>
  <c r="C31" i="10"/>
  <c r="F50" i="1"/>
  <c r="G50" i="1"/>
  <c r="J50" i="1"/>
  <c r="K50" i="1"/>
  <c r="O19" i="1"/>
  <c r="P19" i="1" s="1"/>
  <c r="Q19" i="1" s="1"/>
  <c r="O20" i="1"/>
  <c r="P20" i="1" s="1"/>
  <c r="Q20" i="1" s="1"/>
  <c r="O21" i="1"/>
  <c r="P21" i="1" s="1"/>
  <c r="Q21" i="1" s="1"/>
  <c r="O22" i="1"/>
  <c r="P22" i="1" s="1"/>
  <c r="Q22" i="1" s="1"/>
  <c r="O23" i="1"/>
  <c r="P23" i="1" s="1"/>
  <c r="Q23" i="1" s="1"/>
  <c r="O24" i="1"/>
  <c r="P24" i="1" s="1"/>
  <c r="Q24" i="1" s="1"/>
  <c r="O25" i="1"/>
  <c r="P25" i="1" s="1"/>
  <c r="Q25" i="1" s="1"/>
  <c r="O26" i="1"/>
  <c r="P26" i="1" s="1"/>
  <c r="Q26" i="1" s="1"/>
  <c r="O27" i="1"/>
  <c r="P27" i="1" s="1"/>
  <c r="Q27" i="1" s="1"/>
  <c r="O28" i="1"/>
  <c r="P28" i="1" s="1"/>
  <c r="Q28" i="1" s="1"/>
  <c r="O29" i="1"/>
  <c r="P29" i="1" s="1"/>
  <c r="Q29" i="1" s="1"/>
  <c r="O30" i="1"/>
  <c r="P30" i="1" s="1"/>
  <c r="Q30" i="1" s="1"/>
  <c r="O31" i="1"/>
  <c r="P31" i="1" s="1"/>
  <c r="Q31" i="1" s="1"/>
  <c r="O32" i="1"/>
  <c r="P32" i="1" s="1"/>
  <c r="Q32" i="1" s="1"/>
  <c r="O33" i="1"/>
  <c r="P33" i="1" s="1"/>
  <c r="Q33" i="1" s="1"/>
  <c r="O34" i="1"/>
  <c r="P34" i="1" s="1"/>
  <c r="Q34" i="1" s="1"/>
  <c r="O35" i="1"/>
  <c r="P35" i="1" s="1"/>
  <c r="Q35" i="1" s="1"/>
  <c r="O36" i="1"/>
  <c r="P36" i="1" s="1"/>
  <c r="Q36" i="1" s="1"/>
  <c r="O37" i="1"/>
  <c r="P37" i="1" s="1"/>
  <c r="Q37" i="1" s="1"/>
  <c r="O38" i="1"/>
  <c r="P38" i="1" s="1"/>
  <c r="Q38" i="1" s="1"/>
  <c r="O39" i="1"/>
  <c r="P39" i="1" s="1"/>
  <c r="Q39" i="1" s="1"/>
  <c r="O40" i="1"/>
  <c r="P40" i="1" s="1"/>
  <c r="Q40" i="1" s="1"/>
  <c r="O41" i="1"/>
  <c r="P41" i="1" s="1"/>
  <c r="Q41" i="1" s="1"/>
  <c r="O42" i="1"/>
  <c r="P42" i="1" s="1"/>
  <c r="Q42" i="1" s="1"/>
  <c r="O43" i="1"/>
  <c r="P43" i="1" s="1"/>
  <c r="Q43" i="1" s="1"/>
  <c r="O44" i="1"/>
  <c r="P44" i="1" s="1"/>
  <c r="Q44" i="1" s="1"/>
  <c r="O18" i="1"/>
  <c r="P18" i="1" s="1"/>
  <c r="Q18" i="1" s="1"/>
  <c r="O17" i="1"/>
  <c r="C39" i="10" l="1"/>
  <c r="C40" i="10" s="1"/>
  <c r="U50" i="1"/>
  <c r="P17" i="1"/>
  <c r="Q17" i="1" s="1"/>
  <c r="O50" i="1"/>
  <c r="C32" i="10"/>
  <c r="A50" i="10" l="1"/>
  <c r="B44" i="10"/>
  <c r="A35" i="10"/>
  <c r="B46" i="10"/>
  <c r="C44" i="10"/>
  <c r="C46" i="10" s="1"/>
  <c r="C50" i="10" s="1"/>
  <c r="V50" i="1"/>
  <c r="X45" i="1"/>
  <c r="X23" i="1"/>
  <c r="X25" i="1"/>
  <c r="X27" i="1"/>
  <c r="X29" i="1"/>
  <c r="X31" i="1"/>
  <c r="X33" i="1"/>
  <c r="X35" i="1"/>
  <c r="X37" i="1"/>
  <c r="X39" i="1"/>
  <c r="X41" i="1"/>
  <c r="X43" i="1"/>
  <c r="X47" i="1"/>
  <c r="X48" i="1"/>
  <c r="X49" i="1"/>
  <c r="X46" i="1"/>
  <c r="X22" i="1"/>
  <c r="X24" i="1"/>
  <c r="X26" i="1"/>
  <c r="X28" i="1"/>
  <c r="X30" i="1"/>
  <c r="X32" i="1"/>
  <c r="X34" i="1"/>
  <c r="X36" i="1"/>
  <c r="X38" i="1"/>
  <c r="X40" i="1"/>
  <c r="X42" i="1"/>
  <c r="X44" i="1"/>
  <c r="X19" i="1"/>
  <c r="X20" i="1"/>
  <c r="X21" i="1"/>
  <c r="X18" i="1"/>
  <c r="N43" i="1" l="1"/>
  <c r="N42" i="1"/>
  <c r="N41" i="1"/>
  <c r="N40" i="1"/>
  <c r="N39" i="1"/>
  <c r="N44" i="1"/>
  <c r="N38" i="1"/>
  <c r="N37" i="1"/>
  <c r="N36" i="1" l="1"/>
  <c r="N35" i="1"/>
  <c r="N34" i="1"/>
  <c r="N33" i="1"/>
  <c r="N32" i="1"/>
  <c r="N31" i="1"/>
  <c r="N30" i="1"/>
  <c r="N29" i="1"/>
  <c r="N28" i="1"/>
  <c r="N27" i="1"/>
  <c r="N26" i="1"/>
  <c r="N25" i="1"/>
  <c r="N23" i="1"/>
  <c r="N22" i="1"/>
  <c r="N21" i="1"/>
  <c r="N20" i="1"/>
  <c r="N19" i="1"/>
  <c r="N18" i="1"/>
  <c r="W50" i="1"/>
  <c r="N17" i="1"/>
  <c r="F37" i="21"/>
  <c r="D34" i="21" l="1"/>
  <c r="F40" i="21"/>
  <c r="N24" i="1"/>
  <c r="X50" i="1"/>
</calcChain>
</file>

<file path=xl/sharedStrings.xml><?xml version="1.0" encoding="utf-8"?>
<sst xmlns="http://schemas.openxmlformats.org/spreadsheetml/2006/main" count="412" uniqueCount="208">
  <si>
    <t>N/REF</t>
  </si>
  <si>
    <t>V/REF</t>
  </si>
  <si>
    <t>DEBITEUR</t>
  </si>
  <si>
    <t>CLOTURE</t>
  </si>
  <si>
    <t>ETAT</t>
  </si>
  <si>
    <t>NBRE</t>
  </si>
  <si>
    <t>Lieu</t>
  </si>
  <si>
    <t>Frais de procédure</t>
  </si>
  <si>
    <t>Recouvré total</t>
  </si>
  <si>
    <t>Déjà facturé</t>
  </si>
  <si>
    <t>Total dépuis le début</t>
  </si>
  <si>
    <t>Commissions</t>
  </si>
  <si>
    <t xml:space="preserve">Encaissements Phénix (AG) </t>
  </si>
  <si>
    <t xml:space="preserve">Encaissements Client (CL) </t>
  </si>
  <si>
    <t>COMMISSIONS HT</t>
  </si>
  <si>
    <t>TOTAL HT</t>
  </si>
  <si>
    <t>TOTAL TTC</t>
  </si>
  <si>
    <t>PENALITES</t>
  </si>
  <si>
    <t xml:space="preserve">ETAT DES CREANCES </t>
  </si>
  <si>
    <t>REMIS LE</t>
  </si>
  <si>
    <t>ANCIENNETE</t>
  </si>
  <si>
    <t>RECOUVRE ET FACTURE</t>
  </si>
  <si>
    <t>Consommé</t>
  </si>
  <si>
    <t>Acheté</t>
  </si>
  <si>
    <t>LR</t>
  </si>
  <si>
    <t>A</t>
  </si>
  <si>
    <t>B</t>
  </si>
  <si>
    <t>D</t>
  </si>
  <si>
    <t>E</t>
  </si>
  <si>
    <t>EN CONCLUSION</t>
  </si>
  <si>
    <t>K=I+J</t>
  </si>
  <si>
    <t>J</t>
  </si>
  <si>
    <t>I=A-H</t>
  </si>
  <si>
    <t>LES INFORMATIONS LIEES AU VERSEMENT DES FONDS</t>
  </si>
  <si>
    <t>H=F+G</t>
  </si>
  <si>
    <t>F=D+E</t>
  </si>
  <si>
    <t>Encaissements du mois:</t>
  </si>
  <si>
    <t>C=A+B</t>
  </si>
  <si>
    <t>LES ENCAISSEMENTS SELON LE LIEU</t>
  </si>
  <si>
    <t>Débiteur</t>
  </si>
  <si>
    <t>FACTURE No:</t>
  </si>
  <si>
    <t xml:space="preserve">CREANCE PRINCIPALE </t>
  </si>
  <si>
    <t>Extratction du départements de la colonne E</t>
  </si>
  <si>
    <t>(vide)</t>
  </si>
  <si>
    <t>Transformation de la colonne L en nombre</t>
  </si>
  <si>
    <t>CONDITION de calcul de formule 2 :France ou 1 :Export</t>
  </si>
  <si>
    <t>DONT EN ATTENTE DE FACTURATION</t>
  </si>
  <si>
    <t>Encaissements</t>
  </si>
  <si>
    <t>RECOUVRE</t>
  </si>
  <si>
    <t>NOMBRE</t>
  </si>
  <si>
    <t xml:space="preserve"> </t>
  </si>
  <si>
    <t>FRAIS DE PROCEDURE HT</t>
  </si>
  <si>
    <t>PCD</t>
  </si>
  <si>
    <t>C0301</t>
  </si>
  <si>
    <t>940058/000128</t>
  </si>
  <si>
    <t>CREATION NATURE</t>
  </si>
  <si>
    <t>Gestion en cours</t>
  </si>
  <si>
    <t>DATE D'ENVOI</t>
  </si>
  <si>
    <t>Ancienneté  en mois</t>
  </si>
  <si>
    <t>CREANCE TTC</t>
  </si>
  <si>
    <t>DATE DE MISE EN RECOUVREMENT CONSEILLE</t>
  </si>
  <si>
    <t>Adresse 1</t>
  </si>
  <si>
    <t>Adresse 2</t>
  </si>
  <si>
    <t>Code Postal</t>
  </si>
  <si>
    <t>Ville</t>
  </si>
  <si>
    <t>Pénalites</t>
  </si>
  <si>
    <t>NOMBRE DE FACTURES</t>
  </si>
  <si>
    <t>INDEMNITES</t>
  </si>
  <si>
    <t>TOTAUX PENALITES</t>
  </si>
  <si>
    <t>Pour tout règlement par virement bancaire</t>
  </si>
  <si>
    <t>RIB : 30004 02041 00010023074 93</t>
  </si>
  <si>
    <t>IBAN : FR76 3000 4020 4100 0100 2307 493</t>
  </si>
  <si>
    <t>BIC : BNPAFRPPEVY</t>
  </si>
  <si>
    <t>L'Etat des encaissements reçus, commissions sur les encaissements et frais de procédure engagés pendant la période.</t>
  </si>
  <si>
    <t>G=F*20,00%</t>
  </si>
  <si>
    <t>TVA 20,00%</t>
  </si>
  <si>
    <t>Services</t>
  </si>
  <si>
    <t>Quantités</t>
  </si>
  <si>
    <t>Prix U HT</t>
  </si>
  <si>
    <t>Lettres de relances</t>
  </si>
  <si>
    <t>Rédaction de CGV</t>
  </si>
  <si>
    <t>Journée de conseil</t>
  </si>
  <si>
    <t>Siretisation</t>
  </si>
  <si>
    <t>ACHAT :</t>
  </si>
  <si>
    <t xml:space="preserve"> QUANTITE</t>
  </si>
  <si>
    <t>PRIX UNITAIRE HT</t>
  </si>
  <si>
    <t>Règlement</t>
  </si>
  <si>
    <t xml:space="preserve">Net à payer : </t>
  </si>
  <si>
    <t>Facture réglée.</t>
  </si>
  <si>
    <t>TVA 20%</t>
  </si>
  <si>
    <t>Prix procedures</t>
  </si>
  <si>
    <t>Prestations</t>
  </si>
  <si>
    <t>Délivrance d'acte extra judiciaire</t>
  </si>
  <si>
    <t>Procédure en référé</t>
  </si>
  <si>
    <t>Procédure au fond</t>
  </si>
  <si>
    <t>PRESTATIONS</t>
  </si>
  <si>
    <t xml:space="preserve"> Provision dans l'affaire contre</t>
  </si>
  <si>
    <t>HT</t>
  </si>
  <si>
    <t>Date de la dissolution</t>
  </si>
  <si>
    <t>Date de la radiation du registre de commerce</t>
  </si>
  <si>
    <t>ATTESTATION D’IRRECOUVRABILITE</t>
  </si>
  <si>
    <t>Débiteur parti sans laisser d'adresse</t>
  </si>
  <si>
    <t>Modicité de la créance</t>
  </si>
  <si>
    <t>Insolvabilité du débiteur</t>
  </si>
  <si>
    <t xml:space="preserve">Pour motif : </t>
  </si>
  <si>
    <t>Références :</t>
  </si>
  <si>
    <t>Concernant le Débiteur</t>
  </si>
  <si>
    <t>Somme restant due</t>
  </si>
  <si>
    <t>Informations officielles</t>
  </si>
  <si>
    <t>Le CABINET PHENIX atteste que votre créance est  irrécouvrable et le présent certificat vous permet de passer votre créance en pertes et profits,  conformément à la législation en vigueur.</t>
  </si>
  <si>
    <t xml:space="preserve">Débiteur : </t>
  </si>
  <si>
    <t xml:space="preserve">Pour une somme restant due de : </t>
  </si>
  <si>
    <t>Pour servir et valoir ce que de droit.</t>
  </si>
  <si>
    <t>Date de la liquidation judiciaire</t>
  </si>
  <si>
    <t>Date du redressement judiciaire</t>
  </si>
  <si>
    <t>Insuffisance d'actif RJ</t>
  </si>
  <si>
    <t>Insuffisance d'actif LJ</t>
  </si>
  <si>
    <t>Forclusion LJ</t>
  </si>
  <si>
    <t>Forclusion RJ</t>
  </si>
  <si>
    <t>Défaut de provision</t>
  </si>
  <si>
    <t>Défaut de réponse</t>
  </si>
  <si>
    <t>Défaut de justificatifs</t>
  </si>
  <si>
    <t>Mentions Obligatoires : Tout retard de paiement entraînera une pénalité, égale au dernier taux de refinancement de la BCE, majoré de 10 points, calculé au prorata temporis sur les sommes restant dues (art L441-6 Code de Commerce). Tout professionnel en situation de retard de paiement est de plein droit débiteur, à l’égard du créancier, d’une indemnité forfaitaire pour frais de recouvrement d’un montant minimum fixé à 40€ par facture (art. L441-6 et art D.441-5 du Code de Commerce).</t>
  </si>
  <si>
    <t>Formules por le nom du débiteur</t>
  </si>
  <si>
    <t>Formules pour la somme restant due</t>
  </si>
  <si>
    <t>Créances!G</t>
  </si>
  <si>
    <t>Créances!H</t>
  </si>
  <si>
    <t>Créances!I</t>
  </si>
  <si>
    <t>Procédure d'exécution</t>
  </si>
  <si>
    <t>Nature de document</t>
  </si>
  <si>
    <t>APPEL A PROVISION</t>
  </si>
  <si>
    <t>2, Rue Melingue</t>
  </si>
  <si>
    <t>75019 PARIS</t>
  </si>
  <si>
    <t xml:space="preserve"> / </t>
  </si>
  <si>
    <t>L1</t>
  </si>
  <si>
    <t>REGLES de saisies</t>
  </si>
  <si>
    <t>SAISIES cellules vertes</t>
  </si>
  <si>
    <t>N/Réf :</t>
  </si>
  <si>
    <t>940012/000833</t>
  </si>
  <si>
    <t>Types de Lettres</t>
  </si>
  <si>
    <t>Pénalité</t>
  </si>
  <si>
    <t>Indemnités</t>
  </si>
  <si>
    <t xml:space="preserve">Affaire : </t>
  </si>
  <si>
    <t>Lettre avec pénalités et indemnités autos</t>
  </si>
  <si>
    <t>Auto</t>
  </si>
  <si>
    <t>L2</t>
  </si>
  <si>
    <t>Avec pénalités auto et ss indemnité</t>
  </si>
  <si>
    <t>Sans</t>
  </si>
  <si>
    <t>L3</t>
  </si>
  <si>
    <t>Avec pénalités manuel et ss indemnité</t>
  </si>
  <si>
    <t>Manuel</t>
  </si>
  <si>
    <t>Messieurs,</t>
  </si>
  <si>
    <t>L4</t>
  </si>
  <si>
    <t>Avec pénalités et indemnites manuelles</t>
  </si>
  <si>
    <t>LR/AR</t>
  </si>
  <si>
    <r>
      <t>Notre client référencé ci-dessus</t>
    </r>
    <r>
      <rPr>
        <b/>
        <sz val="14"/>
        <rFont val="Calibri"/>
        <family val="2"/>
      </rPr>
      <t xml:space="preserve"> </t>
    </r>
    <r>
      <rPr>
        <sz val="14"/>
        <rFont val="Calibri"/>
        <family val="2"/>
      </rPr>
      <t xml:space="preserve">nous confie la défense de ses intérêts au sujet de sa créance à votre </t>
    </r>
  </si>
  <si>
    <t>encontre   d’un   montant    de :</t>
  </si>
  <si>
    <t>se décomposant comme suit :</t>
  </si>
  <si>
    <t>Créance Principale :</t>
  </si>
  <si>
    <t>FORMULES A NE PAS MODIFIER SVP</t>
  </si>
  <si>
    <t xml:space="preserve">à l'ordre du Cabinet Phénix, à défaut nous mettrons en œuvre toute voie de droit à votre encontre.  </t>
  </si>
  <si>
    <t>Formules pour pénalités</t>
  </si>
  <si>
    <t>Formules pour indemnités</t>
  </si>
  <si>
    <t>Formules pour total à réclamer</t>
  </si>
  <si>
    <t>Le créancier qui justifie du caractère nécessaire des démarches entreprises pour recouvrer ses créances, peut demander au juge de l’exécution de laisser tout ou partie des frais ainsi exposés à la charge du débiteur de mauvaise foi.</t>
  </si>
  <si>
    <t>Créances!L</t>
  </si>
  <si>
    <t>Créances!M</t>
  </si>
  <si>
    <t>Créances!N</t>
  </si>
  <si>
    <t>L’activité des personnes physiques ou morales non soumises à un statut professionnel qui, d’une manière habituelle ou occasionnelle, même à titre accessoire, procèdent au recouvrement amiable des créances pour le compte d’autrui, fait l’objet d’une réglementation fixée  par décret en Conseil d’Etat.</t>
  </si>
  <si>
    <t>Veuillez agréer l’expression de nos salutations distinguées.</t>
  </si>
  <si>
    <t>"</t>
  </si>
  <si>
    <t>Merci de joindre le coupon réponse pour toute correspondance :</t>
  </si>
  <si>
    <t>En cas de règlement par chèque à l'ordre du CABINET PHENIX :</t>
  </si>
  <si>
    <t>CABINET PHENIX</t>
  </si>
  <si>
    <t>57, rue d'Amsterdam</t>
  </si>
  <si>
    <t>75008 PARIS</t>
  </si>
  <si>
    <t>34, Av. de la république</t>
  </si>
  <si>
    <t>91230 MONTGERON</t>
  </si>
  <si>
    <t>940012/000713</t>
  </si>
  <si>
    <t>3, Squre Watteau</t>
  </si>
  <si>
    <t>78330 FONTENAY LE FLEURY</t>
  </si>
  <si>
    <t>940012/015899</t>
  </si>
  <si>
    <t xml:space="preserve">En cas de règlement  directement à notre Cabinet dans les 8  jours francs suivant la réception de cette lettre,  </t>
  </si>
  <si>
    <t xml:space="preserve">le montant à régler portera uniquement sur la dette principale de :  </t>
  </si>
  <si>
    <t>Au-delà  des 8 jours francs, le montant de votre dette principale sera donc majoré des pénalités et</t>
  </si>
  <si>
    <t xml:space="preserve">indemnités légales qui portera alors la somme due au montant de :    </t>
  </si>
  <si>
    <t>Paris, le</t>
  </si>
  <si>
    <t>Lettres de relance</t>
  </si>
  <si>
    <t>Mandats de recouvrement</t>
  </si>
  <si>
    <t>Nombre de factures</t>
  </si>
  <si>
    <t xml:space="preserve">IBAN : </t>
  </si>
  <si>
    <t>FR76 3000 4020 4100 0100 2452 993</t>
  </si>
  <si>
    <t>Madame Perrine CLAVAUD</t>
  </si>
  <si>
    <t>Gérante</t>
  </si>
  <si>
    <t>Indemnités de recouvrement : Tout professionnel en situation de retard de paiement est de plein droit débiteur, à l’égard du créancier, d’une indemnité forfaitaire pour frais de recouvrement d’un montant minimum fixé à 40€ par facture (art. L441-6 et art. D.441-5 du Code de Commerce).</t>
  </si>
  <si>
    <r>
      <t xml:space="preserve">Indemnités de recouvrement : </t>
    </r>
    <r>
      <rPr>
        <sz val="12"/>
        <rFont val="Calibri"/>
        <family val="2"/>
      </rPr>
      <t>Tout professionnel en situation de retard de paiement est de plein droit débiteur, à l’égard du créancier, d’une indemnité forfaitaire pour frais de recouvrement d’un montant minimum fixé à 40€ par facture (art. L441-6 et art. D.441-5 du Code de Commerce).</t>
    </r>
  </si>
  <si>
    <r>
      <t xml:space="preserve">Pénalités de retard : Tout retard de paiement entraînera une pénalité, égale au moins à trois fois le taux d'intérêt légal, calculé au </t>
    </r>
    <r>
      <rPr>
        <i/>
        <sz val="14"/>
        <rFont val="Calibri"/>
        <family val="2"/>
      </rPr>
      <t>prorata temporis</t>
    </r>
    <r>
      <rPr>
        <sz val="14"/>
        <rFont val="Calibri"/>
        <family val="2"/>
      </rPr>
      <t xml:space="preserve"> sur les sommes restant dues (art. 441-6, I al. 12 du Code de Commerce).</t>
    </r>
  </si>
  <si>
    <r>
      <t>Pénalités de retard : Tout retard de paiement entraînera une pénalité, égale au moins à trois fois le taux d'intérêt légal, calculé au</t>
    </r>
    <r>
      <rPr>
        <i/>
        <sz val="14"/>
        <rFont val="Calibri"/>
        <family val="2"/>
      </rPr>
      <t xml:space="preserve"> prorata temporis</t>
    </r>
    <r>
      <rPr>
        <sz val="14"/>
        <rFont val="Calibri"/>
        <family val="2"/>
      </rPr>
      <t xml:space="preserve"> sur les sommes restant dues (art. 441-6, I al. 12 du Code de Commerce).</t>
    </r>
  </si>
  <si>
    <t>FT TRADING</t>
  </si>
  <si>
    <t>108, Avenue Gallieni</t>
  </si>
  <si>
    <t>93140 BONDY</t>
  </si>
  <si>
    <t>Monsieur Hikmet AVINCA</t>
  </si>
  <si>
    <t>ALFA FOOD FACTORY</t>
  </si>
  <si>
    <t>Code Client : D93110</t>
  </si>
  <si>
    <t>A FAIRE</t>
  </si>
  <si>
    <t>AG</t>
  </si>
  <si>
    <t>PCD OFFERT - PENALITES POUR NOUS</t>
  </si>
  <si>
    <t>26000283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</si>
</sst>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164" formatCode="_(&quot;€&quot;* #,##0_);_(&quot;€&quot;* \(#,##0\);_(&quot;€&quot;* &quot;-&quot;_);_(@_)"/>
    <numFmt numFmtId="165" formatCode="_(&quot;€&quot;* #,##0.00_);_(&quot;€&quot;* \(#,##0.00\);_(&quot;€&quot;* &quot;-&quot;??_);_(@_)"/>
    <numFmt numFmtId="166" formatCode="_-* #,##0.00\ _€_-;\-* #,##0.00\ _€_-;_-* &quot;-&quot;??\ _€_-;_-@_-"/>
    <numFmt numFmtId="167" formatCode="[$€-2]\ #,##0.00"/>
    <numFmt numFmtId="168" formatCode="#,##0.00\ &quot;€&quot;"/>
    <numFmt numFmtId="169" formatCode="_-* #,##0.00\ [$€-40C]_-;\-* #,##0.00\ [$€-40C]_-;_-* &quot;-&quot;??\ [$€-40C]_-;_-@_-"/>
    <numFmt numFmtId="170" formatCode="dd/mm/yy;@"/>
    <numFmt numFmtId="171" formatCode="#,##0.00\ [$€-1]"/>
    <numFmt numFmtId="172" formatCode="[$-40C]d\ mmmm\ yyyy;@"/>
    <numFmt numFmtId="173" formatCode="m/d/yyyy"/>
  </numFmts>
  <fonts count="56"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color indexed="18"/>
      <name val="Arial"/>
      <family val="2"/>
    </font>
    <font>
      <sz val="10"/>
      <color indexed="10"/>
      <name val="Arial"/>
      <family val="2"/>
    </font>
    <font>
      <sz val="10"/>
      <name val="Arial"/>
      <family val="2"/>
    </font>
    <font>
      <sz val="18"/>
      <name val="Arial"/>
      <family val="2"/>
    </font>
    <font>
      <b/>
      <sz val="10"/>
      <name val="Arial"/>
      <family val="2"/>
    </font>
    <font>
      <b/>
      <sz val="10"/>
      <color indexed="56"/>
      <name val="Arial"/>
      <family val="2"/>
    </font>
    <font>
      <sz val="11"/>
      <name val="Calibri"/>
      <family val="2"/>
    </font>
    <font>
      <b/>
      <sz val="14"/>
      <name val="Arial"/>
      <family val="2"/>
    </font>
    <font>
      <sz val="14"/>
      <name val="Arial"/>
      <family val="2"/>
    </font>
    <font>
      <sz val="10"/>
      <name val="Arial"/>
      <family val="2"/>
    </font>
    <font>
      <b/>
      <sz val="12"/>
      <color theme="1"/>
      <name val="Calibri"/>
      <family val="2"/>
      <scheme val="minor"/>
    </font>
    <font>
      <sz val="12"/>
      <name val="Arial"/>
      <family val="2"/>
    </font>
    <font>
      <b/>
      <sz val="11"/>
      <color theme="1"/>
      <name val="Calibri"/>
      <family val="2"/>
      <scheme val="minor"/>
    </font>
    <font>
      <sz val="9"/>
      <color theme="1"/>
      <name val="Calibri"/>
      <family val="2"/>
      <scheme val="minor"/>
    </font>
    <font>
      <sz val="11"/>
      <name val="Arial"/>
      <family val="2"/>
    </font>
    <font>
      <b/>
      <sz val="10"/>
      <name val="Times New Roman"/>
      <family val="1"/>
    </font>
    <font>
      <b/>
      <sz val="10"/>
      <color indexed="10"/>
      <name val="Arial"/>
      <family val="2"/>
    </font>
    <font>
      <b/>
      <sz val="10"/>
      <color rgb="FFFF0000"/>
      <name val="Arial"/>
      <family val="2"/>
    </font>
    <font>
      <b/>
      <sz val="10"/>
      <color rgb="FF002060"/>
      <name val="Arial"/>
      <family val="2"/>
    </font>
    <font>
      <b/>
      <sz val="14"/>
      <color theme="1"/>
      <name val="Calibri"/>
      <family val="2"/>
      <scheme val="minor"/>
    </font>
    <font>
      <i/>
      <sz val="10"/>
      <name val="Arial"/>
      <family val="2"/>
    </font>
    <font>
      <sz val="14"/>
      <color theme="1"/>
      <name val="Calibri"/>
      <family val="2"/>
      <scheme val="minor"/>
    </font>
    <font>
      <b/>
      <sz val="11"/>
      <name val="Arial"/>
      <family val="2"/>
    </font>
    <font>
      <sz val="11"/>
      <color theme="1"/>
      <name val="Arial"/>
      <family val="2"/>
    </font>
    <font>
      <b/>
      <sz val="11"/>
      <name val="Calibri"/>
      <family val="2"/>
      <scheme val="minor"/>
    </font>
    <font>
      <u val="singleAccounting"/>
      <sz val="11"/>
      <name val="Arial"/>
      <family val="2"/>
    </font>
    <font>
      <b/>
      <sz val="10"/>
      <color theme="1"/>
      <name val="Calibri"/>
      <family val="2"/>
      <scheme val="minor"/>
    </font>
    <font>
      <sz val="12"/>
      <name val="Times New Roman"/>
      <family val="1"/>
    </font>
    <font>
      <b/>
      <sz val="16"/>
      <color theme="1"/>
      <name val="Calibri"/>
      <family val="2"/>
      <scheme val="minor"/>
    </font>
    <font>
      <b/>
      <sz val="12"/>
      <color theme="1"/>
      <name val="Arial"/>
      <family val="2"/>
    </font>
    <font>
      <sz val="14"/>
      <name val="Calibri"/>
      <family val="2"/>
    </font>
    <font>
      <b/>
      <sz val="14"/>
      <name val="Calibri"/>
      <family val="2"/>
    </font>
    <font>
      <b/>
      <u val="singleAccounting"/>
      <sz val="14"/>
      <color theme="1"/>
      <name val="Calibri"/>
      <family val="2"/>
      <scheme val="minor"/>
    </font>
    <font>
      <sz val="12"/>
      <name val="Calibri"/>
      <family val="2"/>
    </font>
    <font>
      <sz val="11"/>
      <name val="Wingdings"/>
      <charset val="2"/>
    </font>
    <font>
      <sz val="14"/>
      <name val="Calibri"/>
      <family val="2"/>
      <scheme val="minor"/>
    </font>
    <font>
      <sz val="11"/>
      <name val="Calibri"/>
      <family val="2"/>
      <scheme val="minor"/>
    </font>
    <font>
      <sz val="10"/>
      <name val="Calibri"/>
      <family val="2"/>
      <scheme val="minor"/>
    </font>
    <font>
      <b/>
      <sz val="10"/>
      <name val="Calibri"/>
      <family val="2"/>
      <scheme val="minor"/>
    </font>
    <font>
      <sz val="10"/>
      <color theme="1"/>
      <name val="Calibri"/>
      <family val="2"/>
      <scheme val="minor"/>
    </font>
    <font>
      <u val="singleAccounting"/>
      <sz val="10"/>
      <name val="Calibri"/>
      <family val="2"/>
      <scheme val="minor"/>
    </font>
    <font>
      <b/>
      <sz val="11"/>
      <color theme="1"/>
      <name val="Arial"/>
      <family val="2"/>
    </font>
    <font>
      <b/>
      <sz val="14"/>
      <name val="Calibri"/>
      <family val="2"/>
      <scheme val="minor"/>
    </font>
    <font>
      <i/>
      <sz val="14"/>
      <name val="Calibri"/>
      <family val="2"/>
    </font>
    <font>
      <sz val="10"/>
      <name val="Calibri"/>
      <family val="2"/>
      <scheme val="minor"/>
    </font>
  </fonts>
  <fills count="11">
    <fill>
      <patternFill patternType="none"/>
    </fill>
    <fill>
      <patternFill patternType="gray125"/>
    </fill>
    <fill>
      <patternFill patternType="solid">
        <fgColor indexed="51"/>
        <bgColor indexed="64"/>
      </patternFill>
    </fill>
    <fill>
      <patternFill patternType="solid">
        <fgColor theme="3" tint="0.59999389629810485"/>
        <bgColor indexed="64"/>
      </patternFill>
    </fill>
    <fill>
      <patternFill patternType="solid">
        <fgColor theme="6" tint="0.39997558519241921"/>
        <bgColor indexed="64"/>
      </patternFill>
    </fill>
    <fill>
      <patternFill patternType="solid">
        <fgColor theme="3" tint="0.79998168889431442"/>
        <bgColor indexed="64"/>
      </patternFill>
    </fill>
    <fill>
      <patternFill patternType="solid">
        <fgColor rgb="FFFFC000"/>
        <bgColor indexed="64"/>
      </patternFill>
    </fill>
    <fill>
      <patternFill patternType="solid">
        <fgColor theme="4" tint="0.59999389629810485"/>
        <bgColor indexed="64"/>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8"/>
      </left>
      <right style="thin">
        <color indexed="8"/>
      </right>
      <top style="thin">
        <color indexed="8"/>
      </top>
      <bottom style="thin">
        <color indexed="8"/>
      </bottom>
      <diagonal/>
    </border>
    <border>
      <left style="hair">
        <color indexed="8"/>
      </left>
      <right style="hair">
        <color indexed="8"/>
      </right>
      <top style="hair">
        <color indexed="8"/>
      </top>
      <bottom style="hair">
        <color indexed="8"/>
      </bottom>
      <diagonal/>
    </border>
    <border>
      <left/>
      <right style="medium">
        <color indexed="64"/>
      </right>
      <top/>
      <bottom style="medium">
        <color indexed="64"/>
      </bottom>
      <diagonal/>
    </border>
    <border>
      <left/>
      <right style="medium">
        <color indexed="64"/>
      </right>
      <top/>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top/>
      <bottom/>
      <diagonal/>
    </border>
    <border>
      <left/>
      <right style="thin">
        <color indexed="64"/>
      </right>
      <top/>
      <bottom/>
      <diagonal/>
    </border>
    <border>
      <left style="thin">
        <color indexed="64"/>
      </left>
      <right/>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ck">
        <color indexed="64"/>
      </left>
      <right style="thick">
        <color indexed="64"/>
      </right>
      <top style="thick">
        <color indexed="64"/>
      </top>
      <bottom style="thick">
        <color indexed="64"/>
      </bottom>
      <diagonal/>
    </border>
    <border>
      <left style="dashDot">
        <color indexed="64"/>
      </left>
      <right style="dashDot">
        <color indexed="64"/>
      </right>
      <top/>
      <bottom style="dashDot">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style="dotted">
        <color indexed="64"/>
      </left>
      <right style="dotted">
        <color indexed="64"/>
      </right>
      <top style="dotted">
        <color indexed="64"/>
      </top>
      <bottom style="dotted">
        <color indexed="64"/>
      </bottom>
      <diagonal/>
    </border>
    <border>
      <left/>
      <right style="dotted">
        <color indexed="64"/>
      </right>
      <top style="dotted">
        <color indexed="64"/>
      </top>
      <bottom style="dotted">
        <color indexed="64"/>
      </bottom>
      <diagonal/>
    </border>
    <border>
      <left/>
      <right style="dotted">
        <color indexed="64"/>
      </right>
      <top/>
      <bottom style="dotted">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Dashed">
        <color indexed="64"/>
      </left>
      <right/>
      <top style="mediumDashed">
        <color indexed="64"/>
      </top>
      <bottom/>
      <diagonal/>
    </border>
    <border>
      <left/>
      <right/>
      <top style="mediumDashed">
        <color indexed="64"/>
      </top>
      <bottom/>
      <diagonal/>
    </border>
    <border>
      <left/>
      <right style="mediumDashed">
        <color indexed="64"/>
      </right>
      <top style="mediumDashed">
        <color indexed="64"/>
      </top>
      <bottom/>
      <diagonal/>
    </border>
    <border>
      <left style="mediumDashed">
        <color indexed="64"/>
      </left>
      <right/>
      <top/>
      <bottom/>
      <diagonal/>
    </border>
    <border>
      <left/>
      <right style="mediumDashed">
        <color indexed="64"/>
      </right>
      <top/>
      <bottom/>
      <diagonal/>
    </border>
    <border>
      <left style="mediumDashed">
        <color indexed="64"/>
      </left>
      <right/>
      <top/>
      <bottom style="mediumDashed">
        <color indexed="64"/>
      </bottom>
      <diagonal/>
    </border>
    <border>
      <left/>
      <right/>
      <top/>
      <bottom style="mediumDashed">
        <color indexed="64"/>
      </bottom>
      <diagonal/>
    </border>
    <border>
      <left/>
      <right style="mediumDashed">
        <color indexed="64"/>
      </right>
      <top/>
      <bottom style="mediumDashed">
        <color indexed="64"/>
      </bottom>
      <diagonal/>
    </border>
  </borders>
  <cellStyleXfs count="23">
    <xf numFmtId="14" fontId="0" fillId="0" borderId="0"/>
    <xf numFmtId="167" fontId="10" fillId="0" borderId="0" applyFont="0" applyFill="0" applyBorder="0" applyAlignment="0" applyProtection="0"/>
    <xf numFmtId="164" fontId="20" fillId="0" borderId="0" applyFont="0" applyFill="0" applyBorder="0" applyAlignment="0" applyProtection="0"/>
    <xf numFmtId="0" fontId="9" fillId="0" borderId="0"/>
    <xf numFmtId="166" fontId="9" fillId="0" borderId="0" applyFont="0" applyFill="0" applyBorder="0" applyAlignment="0" applyProtection="0"/>
    <xf numFmtId="165" fontId="9" fillId="0" borderId="0" applyFont="0" applyFill="0" applyBorder="0" applyAlignment="0" applyProtection="0"/>
    <xf numFmtId="0" fontId="8" fillId="0" borderId="0"/>
    <xf numFmtId="14" fontId="10" fillId="0" borderId="0"/>
    <xf numFmtId="165" fontId="8" fillId="0" borderId="0" applyFont="0" applyFill="0" applyBorder="0" applyAlignment="0" applyProtection="0"/>
    <xf numFmtId="166" fontId="8" fillId="0" borderId="0" applyFont="0" applyFill="0" applyBorder="0" applyAlignment="0" applyProtection="0"/>
    <xf numFmtId="164" fontId="10" fillId="0" borderId="0" applyFont="0" applyFill="0" applyBorder="0" applyAlignment="0" applyProtection="0"/>
    <xf numFmtId="165" fontId="8" fillId="0" borderId="0" applyFont="0" applyFill="0" applyBorder="0" applyAlignment="0" applyProtection="0"/>
    <xf numFmtId="167" fontId="10" fillId="0" borderId="0" applyFont="0" applyFill="0" applyBorder="0" applyAlignment="0" applyProtection="0"/>
    <xf numFmtId="0" fontId="8" fillId="0" borderId="0"/>
    <xf numFmtId="0" fontId="7" fillId="0" borderId="0"/>
    <xf numFmtId="0" fontId="6" fillId="0" borderId="0"/>
    <xf numFmtId="0" fontId="5" fillId="0" borderId="0"/>
    <xf numFmtId="165" fontId="5" fillId="0" borderId="0" applyFont="0" applyFill="0" applyBorder="0" applyAlignment="0" applyProtection="0"/>
    <xf numFmtId="165" fontId="5" fillId="0" borderId="0" applyFont="0" applyFill="0" applyBorder="0" applyAlignment="0" applyProtection="0"/>
    <xf numFmtId="0" fontId="5" fillId="0" borderId="0"/>
    <xf numFmtId="0" fontId="5" fillId="0" borderId="0"/>
    <xf numFmtId="0" fontId="5" fillId="0" borderId="0"/>
    <xf numFmtId="0" fontId="5" fillId="0" borderId="0"/>
  </cellStyleXfs>
  <cellXfs count="405">
    <xf numFmtId="14" fontId="0" fillId="0" borderId="0" xfId="0"/>
    <xf numFmtId="14" fontId="0" fillId="0" borderId="0" xfId="0" applyAlignment="1">
      <alignment horizontal="center"/>
    </xf>
    <xf numFmtId="167" fontId="11" fillId="0" borderId="0" xfId="1" applyFont="1" applyFill="1" applyBorder="1" applyAlignment="1">
      <alignment horizontal="center"/>
    </xf>
    <xf numFmtId="167" fontId="12" fillId="0" borderId="0" xfId="1" applyFont="1" applyFill="1" applyBorder="1" applyAlignment="1"/>
    <xf numFmtId="0" fontId="0" fillId="0" borderId="0" xfId="0" applyNumberFormat="1"/>
    <xf numFmtId="14" fontId="10" fillId="0" borderId="0" xfId="0" applyFont="1"/>
    <xf numFmtId="1" fontId="0" fillId="0" borderId="0" xfId="0" applyNumberFormat="1"/>
    <xf numFmtId="0" fontId="0" fillId="0" borderId="0" xfId="0" applyNumberFormat="1" applyAlignment="1">
      <alignment horizontal="center"/>
    </xf>
    <xf numFmtId="14" fontId="10" fillId="0" borderId="0" xfId="0" applyFont="1" applyAlignment="1">
      <alignment horizontal="center"/>
    </xf>
    <xf numFmtId="167" fontId="10" fillId="0" borderId="0" xfId="1" applyFont="1" applyFill="1" applyBorder="1" applyAlignment="1">
      <alignment horizontal="center"/>
    </xf>
    <xf numFmtId="170" fontId="0" fillId="0" borderId="0" xfId="0" applyNumberFormat="1"/>
    <xf numFmtId="169" fontId="0" fillId="0" borderId="0" xfId="1" applyNumberFormat="1" applyFont="1"/>
    <xf numFmtId="1" fontId="0" fillId="0" borderId="1" xfId="0" applyNumberFormat="1" applyBorder="1" applyAlignment="1">
      <alignment horizontal="center" vertical="center" shrinkToFit="1"/>
    </xf>
    <xf numFmtId="14" fontId="15" fillId="0" borderId="1" xfId="0" applyFont="1" applyBorder="1" applyAlignment="1">
      <alignment horizontal="center" vertical="center" shrinkToFit="1"/>
    </xf>
    <xf numFmtId="2" fontId="15" fillId="0" borderId="1" xfId="0" applyNumberFormat="1" applyFont="1" applyBorder="1" applyAlignment="1">
      <alignment horizontal="center" vertical="center" wrapText="1"/>
    </xf>
    <xf numFmtId="1" fontId="10" fillId="0" borderId="1" xfId="0" applyNumberFormat="1" applyFont="1" applyBorder="1" applyAlignment="1">
      <alignment horizontal="center" vertical="center" shrinkToFit="1"/>
    </xf>
    <xf numFmtId="168" fontId="16" fillId="2" borderId="1" xfId="1" applyNumberFormat="1" applyFont="1" applyFill="1" applyBorder="1" applyAlignment="1">
      <alignment horizontal="right" vertical="center" shrinkToFit="1"/>
    </xf>
    <xf numFmtId="0" fontId="0" fillId="0" borderId="1" xfId="0" applyNumberFormat="1" applyBorder="1" applyAlignment="1">
      <alignment horizontal="center" vertical="center"/>
    </xf>
    <xf numFmtId="169" fontId="0" fillId="0" borderId="0" xfId="0" applyNumberFormat="1"/>
    <xf numFmtId="14" fontId="14" fillId="5" borderId="6" xfId="0" applyFont="1" applyFill="1" applyBorder="1" applyAlignment="1">
      <alignment horizontal="center" vertical="center"/>
    </xf>
    <xf numFmtId="14" fontId="14" fillId="5" borderId="8" xfId="0" applyFont="1" applyFill="1" applyBorder="1" applyAlignment="1">
      <alignment horizontal="center" vertical="center"/>
    </xf>
    <xf numFmtId="0" fontId="9" fillId="0" borderId="0" xfId="3"/>
    <xf numFmtId="169" fontId="9" fillId="0" borderId="0" xfId="3" applyNumberFormat="1"/>
    <xf numFmtId="0" fontId="9" fillId="0" borderId="0" xfId="3" applyAlignment="1">
      <alignment horizontal="center"/>
    </xf>
    <xf numFmtId="169" fontId="21" fillId="0" borderId="12" xfId="5" applyNumberFormat="1" applyFont="1" applyBorder="1" applyAlignment="1">
      <alignment vertical="center"/>
    </xf>
    <xf numFmtId="4" fontId="23" fillId="0" borderId="0" xfId="3" applyNumberFormat="1" applyFont="1" applyAlignment="1">
      <alignment vertical="center" wrapText="1"/>
    </xf>
    <xf numFmtId="0" fontId="24" fillId="0" borderId="0" xfId="3" applyFont="1" applyAlignment="1">
      <alignment horizontal="center" vertical="center" wrapText="1"/>
    </xf>
    <xf numFmtId="4" fontId="23" fillId="0" borderId="1" xfId="3" applyNumberFormat="1" applyFont="1" applyBorder="1" applyAlignment="1">
      <alignment vertical="center" wrapText="1"/>
    </xf>
    <xf numFmtId="0" fontId="24" fillId="0" borderId="1" xfId="3" applyFont="1" applyBorder="1" applyAlignment="1">
      <alignment horizontal="center" vertical="center" wrapText="1"/>
    </xf>
    <xf numFmtId="0" fontId="24" fillId="0" borderId="1" xfId="3" applyFont="1" applyBorder="1" applyAlignment="1">
      <alignment horizontal="center" vertical="center"/>
    </xf>
    <xf numFmtId="0" fontId="24" fillId="0" borderId="0" xfId="3" applyFont="1" applyAlignment="1">
      <alignment horizontal="center" vertical="center"/>
    </xf>
    <xf numFmtId="169" fontId="23" fillId="0" borderId="0" xfId="3" applyNumberFormat="1" applyFont="1" applyAlignment="1">
      <alignment vertical="center" wrapText="1"/>
    </xf>
    <xf numFmtId="14" fontId="22" fillId="5" borderId="7" xfId="0" applyFont="1" applyFill="1" applyBorder="1" applyAlignment="1">
      <alignment horizontal="center" vertical="center"/>
    </xf>
    <xf numFmtId="1" fontId="15" fillId="0" borderId="1" xfId="0" applyNumberFormat="1" applyFont="1" applyBorder="1" applyAlignment="1">
      <alignment horizontal="center" vertical="center" wrapText="1"/>
    </xf>
    <xf numFmtId="0" fontId="26" fillId="0" borderId="1" xfId="0" applyNumberFormat="1" applyFont="1" applyBorder="1" applyAlignment="1">
      <alignment horizontal="center" vertical="center"/>
    </xf>
    <xf numFmtId="168" fontId="27" fillId="0" borderId="1" xfId="1" applyNumberFormat="1" applyFont="1" applyBorder="1" applyAlignment="1">
      <alignment horizontal="right" vertical="center" shrinkToFit="1"/>
    </xf>
    <xf numFmtId="168" fontId="16" fillId="0" borderId="1" xfId="1" applyNumberFormat="1" applyFont="1" applyFill="1" applyBorder="1" applyAlignment="1">
      <alignment horizontal="right" vertical="center" shrinkToFit="1"/>
    </xf>
    <xf numFmtId="14" fontId="0" fillId="0" borderId="1" xfId="0" applyBorder="1" applyAlignment="1">
      <alignment horizontal="center" vertical="center"/>
    </xf>
    <xf numFmtId="168" fontId="27" fillId="0" borderId="1" xfId="1" applyNumberFormat="1" applyFont="1" applyFill="1" applyBorder="1" applyAlignment="1">
      <alignment horizontal="right" vertical="center" shrinkToFit="1"/>
    </xf>
    <xf numFmtId="0" fontId="10" fillId="0" borderId="1" xfId="0" applyNumberFormat="1" applyFont="1" applyBorder="1" applyAlignment="1">
      <alignment horizontal="center" vertical="center" wrapText="1"/>
    </xf>
    <xf numFmtId="168" fontId="28" fillId="0" borderId="1" xfId="1" applyNumberFormat="1" applyFont="1" applyFill="1" applyBorder="1" applyAlignment="1">
      <alignment horizontal="right" vertical="center" shrinkToFit="1"/>
    </xf>
    <xf numFmtId="168" fontId="29" fillId="0" borderId="1" xfId="1" applyNumberFormat="1" applyFont="1" applyFill="1" applyBorder="1" applyAlignment="1">
      <alignment horizontal="right" vertical="center" shrinkToFit="1"/>
    </xf>
    <xf numFmtId="168" fontId="16" fillId="2" borderId="16" xfId="1" applyNumberFormat="1" applyFont="1" applyFill="1" applyBorder="1" applyAlignment="1">
      <alignment horizontal="right" vertical="center" shrinkToFit="1"/>
    </xf>
    <xf numFmtId="169" fontId="16" fillId="2" borderId="7" xfId="1" applyNumberFormat="1" applyFont="1" applyFill="1" applyBorder="1" applyAlignment="1">
      <alignment horizontal="right" vertical="center" shrinkToFit="1"/>
    </xf>
    <xf numFmtId="14" fontId="14" fillId="5" borderId="5" xfId="0" applyFont="1" applyFill="1" applyBorder="1" applyAlignment="1">
      <alignment horizontal="center" vertical="center"/>
    </xf>
    <xf numFmtId="14" fontId="14" fillId="5" borderId="3" xfId="0" applyFont="1" applyFill="1" applyBorder="1" applyAlignment="1">
      <alignment horizontal="center" vertical="center"/>
    </xf>
    <xf numFmtId="165" fontId="0" fillId="0" borderId="0" xfId="2" applyNumberFormat="1" applyFont="1"/>
    <xf numFmtId="165" fontId="16" fillId="2" borderId="16" xfId="1" applyNumberFormat="1" applyFont="1" applyFill="1" applyBorder="1" applyAlignment="1">
      <alignment horizontal="right" vertical="center" shrinkToFit="1"/>
    </xf>
    <xf numFmtId="14" fontId="0" fillId="0" borderId="0" xfId="0" applyAlignment="1">
      <alignment vertical="center"/>
    </xf>
    <xf numFmtId="0" fontId="0" fillId="0" borderId="0" xfId="0" applyNumberFormat="1" applyAlignment="1">
      <alignment vertical="center"/>
    </xf>
    <xf numFmtId="14" fontId="10" fillId="0" borderId="0" xfId="0" applyFont="1" applyAlignment="1">
      <alignment vertical="center"/>
    </xf>
    <xf numFmtId="170" fontId="0" fillId="0" borderId="0" xfId="0" applyNumberFormat="1" applyAlignment="1">
      <alignment vertical="center"/>
    </xf>
    <xf numFmtId="169" fontId="0" fillId="0" borderId="0" xfId="1" applyNumberFormat="1" applyFont="1" applyAlignment="1">
      <alignment vertical="center"/>
    </xf>
    <xf numFmtId="165" fontId="0" fillId="0" borderId="0" xfId="2" applyNumberFormat="1" applyFont="1" applyAlignment="1">
      <alignment vertical="center"/>
    </xf>
    <xf numFmtId="169" fontId="0" fillId="0" borderId="0" xfId="0" applyNumberFormat="1" applyAlignment="1">
      <alignment vertical="center"/>
    </xf>
    <xf numFmtId="14" fontId="18" fillId="0" borderId="0" xfId="0" applyFont="1" applyAlignment="1">
      <alignment vertical="center"/>
    </xf>
    <xf numFmtId="169" fontId="10" fillId="0" borderId="0" xfId="0" applyNumberFormat="1" applyFont="1" applyAlignment="1">
      <alignment vertical="center"/>
    </xf>
    <xf numFmtId="14" fontId="15" fillId="0" borderId="0" xfId="0" applyFont="1" applyAlignment="1">
      <alignment vertical="center"/>
    </xf>
    <xf numFmtId="14" fontId="19" fillId="0" borderId="0" xfId="0" applyFont="1" applyAlignment="1">
      <alignment vertical="center"/>
    </xf>
    <xf numFmtId="14" fontId="0" fillId="5" borderId="4" xfId="0" applyFill="1" applyBorder="1" applyAlignment="1">
      <alignment vertical="center"/>
    </xf>
    <xf numFmtId="14" fontId="25" fillId="5" borderId="4" xfId="0" applyFont="1" applyFill="1" applyBorder="1" applyAlignment="1">
      <alignment horizontal="left" vertical="center"/>
    </xf>
    <xf numFmtId="165" fontId="0" fillId="0" borderId="0" xfId="2" applyNumberFormat="1" applyFont="1" applyBorder="1" applyAlignment="1">
      <alignment vertical="center"/>
    </xf>
    <xf numFmtId="14" fontId="0" fillId="5" borderId="7" xfId="0" applyFill="1" applyBorder="1" applyAlignment="1">
      <alignment vertical="center"/>
    </xf>
    <xf numFmtId="14" fontId="13" fillId="5" borderId="15" xfId="0" applyFont="1" applyFill="1" applyBorder="1" applyAlignment="1">
      <alignment horizontal="center" vertical="center"/>
    </xf>
    <xf numFmtId="14" fontId="10" fillId="5" borderId="15" xfId="0" applyFont="1" applyFill="1" applyBorder="1" applyAlignment="1">
      <alignment horizontal="center" vertical="center"/>
    </xf>
    <xf numFmtId="0" fontId="10" fillId="5" borderId="15" xfId="0" applyNumberFormat="1" applyFont="1" applyFill="1" applyBorder="1" applyAlignment="1">
      <alignment horizontal="center" vertical="center"/>
    </xf>
    <xf numFmtId="14" fontId="10" fillId="5" borderId="15" xfId="0" applyFont="1" applyFill="1" applyBorder="1" applyAlignment="1">
      <alignment horizontal="center" vertical="center" wrapText="1"/>
    </xf>
    <xf numFmtId="170" fontId="13" fillId="5" borderId="15" xfId="0" applyNumberFormat="1" applyFont="1" applyFill="1" applyBorder="1" applyAlignment="1">
      <alignment horizontal="center" vertical="center"/>
    </xf>
    <xf numFmtId="14" fontId="10" fillId="5" borderId="2" xfId="0" applyFont="1" applyFill="1" applyBorder="1" applyAlignment="1">
      <alignment horizontal="center" vertical="center" wrapText="1"/>
    </xf>
    <xf numFmtId="169" fontId="10" fillId="3" borderId="15" xfId="1" applyNumberFormat="1" applyFont="1" applyFill="1" applyBorder="1" applyAlignment="1">
      <alignment horizontal="center" vertical="center" wrapText="1"/>
    </xf>
    <xf numFmtId="165" fontId="13" fillId="3" borderId="15" xfId="2" applyNumberFormat="1" applyFont="1" applyFill="1" applyBorder="1" applyAlignment="1">
      <alignment vertical="center"/>
    </xf>
    <xf numFmtId="169" fontId="10" fillId="3" borderId="1" xfId="0" applyNumberFormat="1" applyFont="1" applyFill="1" applyBorder="1" applyAlignment="1">
      <alignment horizontal="center" vertical="center"/>
    </xf>
    <xf numFmtId="169" fontId="13" fillId="3" borderId="1" xfId="0" applyNumberFormat="1" applyFont="1" applyFill="1" applyBorder="1" applyAlignment="1">
      <alignment horizontal="center" vertical="center"/>
    </xf>
    <xf numFmtId="169" fontId="0" fillId="4" borderId="1" xfId="1" applyNumberFormat="1" applyFont="1" applyFill="1" applyBorder="1" applyAlignment="1">
      <alignment vertical="center"/>
    </xf>
    <xf numFmtId="165" fontId="0" fillId="4" borderId="1" xfId="2" applyNumberFormat="1" applyFont="1" applyFill="1" applyBorder="1" applyAlignment="1">
      <alignment vertical="center"/>
    </xf>
    <xf numFmtId="169" fontId="0" fillId="0" borderId="1" xfId="0" applyNumberFormat="1" applyBorder="1" applyAlignment="1">
      <alignment vertical="center"/>
    </xf>
    <xf numFmtId="169" fontId="26" fillId="0" borderId="1" xfId="0" applyNumberFormat="1" applyFont="1" applyBorder="1" applyAlignment="1">
      <alignment vertical="center"/>
    </xf>
    <xf numFmtId="169" fontId="17" fillId="0" borderId="1" xfId="0" applyNumberFormat="1" applyFont="1" applyBorder="1" applyAlignment="1">
      <alignment vertical="center"/>
    </xf>
    <xf numFmtId="1" fontId="0" fillId="6" borderId="1" xfId="0" applyNumberFormat="1" applyFill="1" applyBorder="1" applyAlignment="1">
      <alignment horizontal="center" vertical="center"/>
    </xf>
    <xf numFmtId="14" fontId="0" fillId="6" borderId="1" xfId="0" applyFill="1" applyBorder="1" applyAlignment="1">
      <alignment vertical="center"/>
    </xf>
    <xf numFmtId="14" fontId="10" fillId="0" borderId="1" xfId="0" applyFont="1" applyBorder="1" applyAlignment="1">
      <alignment horizontal="center" vertical="center"/>
    </xf>
    <xf numFmtId="0" fontId="19" fillId="0" borderId="1" xfId="0" applyNumberFormat="1" applyFont="1" applyBorder="1" applyAlignment="1">
      <alignment horizontal="center" vertical="center"/>
    </xf>
    <xf numFmtId="1" fontId="19" fillId="0" borderId="1" xfId="0" applyNumberFormat="1" applyFont="1" applyBorder="1" applyAlignment="1">
      <alignment horizontal="center" vertical="center"/>
    </xf>
    <xf numFmtId="14" fontId="19" fillId="0" borderId="1" xfId="0" applyFont="1" applyBorder="1" applyAlignment="1">
      <alignment horizontal="left" vertical="center"/>
    </xf>
    <xf numFmtId="169" fontId="16" fillId="2" borderId="1" xfId="1" applyNumberFormat="1" applyFont="1" applyFill="1" applyBorder="1" applyAlignment="1">
      <alignment horizontal="center" vertical="center" shrinkToFit="1"/>
    </xf>
    <xf numFmtId="168" fontId="16" fillId="2" borderId="16" xfId="1" applyNumberFormat="1" applyFont="1" applyFill="1" applyBorder="1" applyAlignment="1">
      <alignment horizontal="center" vertical="center" shrinkToFit="1"/>
    </xf>
    <xf numFmtId="14" fontId="9" fillId="0" borderId="0" xfId="3" applyNumberFormat="1" applyAlignment="1">
      <alignment vertical="center"/>
    </xf>
    <xf numFmtId="0" fontId="9" fillId="0" borderId="0" xfId="3" applyAlignment="1">
      <alignment vertical="center"/>
    </xf>
    <xf numFmtId="169" fontId="23" fillId="0" borderId="0" xfId="3" applyNumberFormat="1" applyFont="1" applyAlignment="1">
      <alignment vertical="center"/>
    </xf>
    <xf numFmtId="169" fontId="21" fillId="0" borderId="0" xfId="4" applyNumberFormat="1" applyFont="1" applyBorder="1" applyAlignment="1">
      <alignment vertical="center"/>
    </xf>
    <xf numFmtId="169" fontId="21" fillId="0" borderId="0" xfId="3" applyNumberFormat="1" applyFont="1" applyAlignment="1">
      <alignment vertical="center"/>
    </xf>
    <xf numFmtId="14" fontId="0" fillId="0" borderId="0" xfId="0" applyAlignment="1">
      <alignment horizontal="center" vertical="center"/>
    </xf>
    <xf numFmtId="14" fontId="0" fillId="0" borderId="0" xfId="0" applyAlignment="1">
      <alignment horizontal="left" vertical="center"/>
    </xf>
    <xf numFmtId="14" fontId="0" fillId="7" borderId="0" xfId="0" applyFill="1" applyAlignment="1">
      <alignment horizontal="center" vertical="center"/>
    </xf>
    <xf numFmtId="168" fontId="0" fillId="0" borderId="0" xfId="0" applyNumberFormat="1" applyAlignment="1">
      <alignment vertical="center"/>
    </xf>
    <xf numFmtId="169" fontId="30" fillId="0" borderId="0" xfId="3" applyNumberFormat="1" applyFont="1" applyAlignment="1">
      <alignment vertical="center"/>
    </xf>
    <xf numFmtId="0" fontId="0" fillId="0" borderId="0" xfId="0" applyNumberFormat="1" applyAlignment="1">
      <alignment horizontal="center" vertical="center"/>
    </xf>
    <xf numFmtId="1" fontId="19" fillId="0" borderId="0" xfId="0" applyNumberFormat="1" applyFont="1" applyAlignment="1">
      <alignment horizontal="center" vertical="center"/>
    </xf>
    <xf numFmtId="0" fontId="10" fillId="0" borderId="1" xfId="0" applyNumberFormat="1" applyFont="1" applyBorder="1" applyAlignment="1">
      <alignment horizontal="center" vertical="center"/>
    </xf>
    <xf numFmtId="0" fontId="0" fillId="0" borderId="1" xfId="0" applyNumberFormat="1" applyBorder="1" applyAlignment="1">
      <alignment horizontal="center" vertical="center" wrapText="1"/>
    </xf>
    <xf numFmtId="0" fontId="10" fillId="0" borderId="1" xfId="0" applyNumberFormat="1" applyFont="1" applyBorder="1" applyAlignment="1">
      <alignment horizontal="left" vertical="center"/>
    </xf>
    <xf numFmtId="171" fontId="0" fillId="0" borderId="19" xfId="0" applyNumberFormat="1" applyBorder="1"/>
    <xf numFmtId="0" fontId="0" fillId="0" borderId="1" xfId="0" applyNumberFormat="1" applyBorder="1" applyAlignment="1">
      <alignment horizontal="left" vertical="center"/>
    </xf>
    <xf numFmtId="2" fontId="0" fillId="0" borderId="1" xfId="0" applyNumberFormat="1" applyBorder="1" applyAlignment="1">
      <alignment horizontal="right" vertical="center"/>
    </xf>
    <xf numFmtId="14" fontId="0" fillId="0" borderId="19" xfId="0" applyBorder="1" applyAlignment="1">
      <alignment horizontal="left"/>
    </xf>
    <xf numFmtId="49" fontId="0" fillId="0" borderId="19" xfId="0" applyNumberFormat="1" applyBorder="1" applyAlignment="1">
      <alignment horizontal="left"/>
    </xf>
    <xf numFmtId="14" fontId="0" fillId="0" borderId="0" xfId="0" applyAlignment="1">
      <alignment horizontal="left" wrapText="1"/>
    </xf>
    <xf numFmtId="171" fontId="0" fillId="0" borderId="20" xfId="0" applyNumberFormat="1" applyBorder="1"/>
    <xf numFmtId="4" fontId="0" fillId="0" borderId="1" xfId="0" applyNumberFormat="1" applyBorder="1" applyAlignment="1">
      <alignment horizontal="right" vertical="center"/>
    </xf>
    <xf numFmtId="14" fontId="0" fillId="0" borderId="0" xfId="1" applyNumberFormat="1" applyFont="1" applyBorder="1" applyAlignment="1">
      <alignment vertical="center"/>
    </xf>
    <xf numFmtId="0" fontId="10" fillId="5" borderId="15" xfId="0" applyNumberFormat="1" applyFont="1" applyFill="1" applyBorder="1" applyAlignment="1">
      <alignment horizontal="center" vertical="center" wrapText="1"/>
    </xf>
    <xf numFmtId="169" fontId="13" fillId="3" borderId="1" xfId="0" applyNumberFormat="1" applyFont="1" applyFill="1" applyBorder="1" applyAlignment="1">
      <alignment horizontal="center" vertical="center" wrapText="1"/>
    </xf>
    <xf numFmtId="0" fontId="10" fillId="0" borderId="1" xfId="0" applyNumberFormat="1" applyFont="1" applyBorder="1" applyAlignment="1">
      <alignment wrapText="1"/>
    </xf>
    <xf numFmtId="168" fontId="16" fillId="2" borderId="16" xfId="1" applyNumberFormat="1" applyFont="1" applyFill="1" applyBorder="1" applyAlignment="1">
      <alignment wrapText="1"/>
    </xf>
    <xf numFmtId="167" fontId="15" fillId="0" borderId="1" xfId="1" applyFont="1" applyFill="1" applyBorder="1" applyAlignment="1">
      <alignment horizontal="left" vertical="center"/>
    </xf>
    <xf numFmtId="168" fontId="16" fillId="2" borderId="1" xfId="1" applyNumberFormat="1" applyFont="1" applyFill="1" applyBorder="1" applyAlignment="1">
      <alignment horizontal="left" vertical="center"/>
    </xf>
    <xf numFmtId="0" fontId="23" fillId="0" borderId="24" xfId="3" applyFont="1" applyBorder="1" applyAlignment="1">
      <alignment horizontal="left" vertical="center"/>
    </xf>
    <xf numFmtId="0" fontId="23" fillId="0" borderId="27" xfId="3" applyFont="1" applyBorder="1" applyAlignment="1">
      <alignment horizontal="left" vertical="center"/>
    </xf>
    <xf numFmtId="0" fontId="23" fillId="0" borderId="30" xfId="3" applyFont="1" applyBorder="1" applyAlignment="1">
      <alignment horizontal="left" vertical="center"/>
    </xf>
    <xf numFmtId="2" fontId="13" fillId="3" borderId="15" xfId="0" applyNumberFormat="1" applyFont="1" applyFill="1" applyBorder="1" applyAlignment="1">
      <alignment horizontal="center" vertical="center"/>
    </xf>
    <xf numFmtId="169" fontId="0" fillId="0" borderId="0" xfId="0" applyNumberFormat="1" applyAlignment="1">
      <alignment horizontal="center" vertical="center"/>
    </xf>
    <xf numFmtId="169" fontId="10" fillId="0" borderId="0" xfId="0" applyNumberFormat="1" applyFont="1" applyAlignment="1">
      <alignment horizontal="center" vertical="center"/>
    </xf>
    <xf numFmtId="14" fontId="13" fillId="4" borderId="1" xfId="0" applyFont="1" applyFill="1" applyBorder="1" applyAlignment="1">
      <alignment horizontal="center" vertical="center"/>
    </xf>
    <xf numFmtId="14" fontId="0" fillId="0" borderId="0" xfId="0" applyAlignment="1">
      <alignment wrapText="1"/>
    </xf>
    <xf numFmtId="49" fontId="0" fillId="0" borderId="0" xfId="0" applyNumberFormat="1"/>
    <xf numFmtId="1" fontId="0" fillId="0" borderId="0" xfId="0" applyNumberFormat="1" applyAlignment="1">
      <alignment horizontal="left"/>
    </xf>
    <xf numFmtId="14" fontId="28" fillId="0" borderId="0" xfId="0" applyFont="1" applyAlignment="1">
      <alignment vertical="center"/>
    </xf>
    <xf numFmtId="0" fontId="31" fillId="0" borderId="1" xfId="0" applyNumberFormat="1" applyFont="1" applyBorder="1" applyAlignment="1">
      <alignment wrapText="1"/>
    </xf>
    <xf numFmtId="14" fontId="10" fillId="0" borderId="0" xfId="7" applyAlignment="1">
      <alignment horizontal="left" vertical="center"/>
    </xf>
    <xf numFmtId="14" fontId="25" fillId="0" borderId="0" xfId="7" applyFont="1" applyAlignment="1">
      <alignment vertical="center" wrapText="1"/>
    </xf>
    <xf numFmtId="169" fontId="25" fillId="0" borderId="0" xfId="7" applyNumberFormat="1" applyFont="1" applyAlignment="1">
      <alignment vertical="center" wrapText="1"/>
    </xf>
    <xf numFmtId="14" fontId="10" fillId="0" borderId="0" xfId="7" applyAlignment="1">
      <alignment vertical="center" wrapText="1"/>
    </xf>
    <xf numFmtId="14" fontId="25" fillId="0" borderId="0" xfId="7" applyFont="1" applyAlignment="1">
      <alignment horizontal="left" vertical="center"/>
    </xf>
    <xf numFmtId="14" fontId="23" fillId="0" borderId="31" xfId="7" applyFont="1" applyBorder="1" applyAlignment="1">
      <alignment horizontal="left" vertical="center"/>
    </xf>
    <xf numFmtId="14" fontId="23" fillId="0" borderId="31" xfId="7" applyFont="1" applyBorder="1" applyAlignment="1">
      <alignment horizontal="center" vertical="center"/>
    </xf>
    <xf numFmtId="14" fontId="25" fillId="0" borderId="0" xfId="7" applyFont="1" applyAlignment="1">
      <alignment vertical="center"/>
    </xf>
    <xf numFmtId="14" fontId="10" fillId="0" borderId="0" xfId="7" applyAlignment="1">
      <alignment horizontal="right" vertical="center"/>
    </xf>
    <xf numFmtId="14" fontId="25" fillId="0" borderId="0" xfId="7" applyFont="1"/>
    <xf numFmtId="14" fontId="10" fillId="0" borderId="0" xfId="7"/>
    <xf numFmtId="14" fontId="38" fillId="0" borderId="0" xfId="7" applyFont="1" applyAlignment="1">
      <alignment vertical="center"/>
    </xf>
    <xf numFmtId="14" fontId="22" fillId="0" borderId="0" xfId="7" applyFont="1" applyAlignment="1">
      <alignment horizontal="left" vertical="center"/>
    </xf>
    <xf numFmtId="14" fontId="22" fillId="0" borderId="0" xfId="7" applyFont="1" applyAlignment="1">
      <alignment horizontal="justify" vertical="top"/>
    </xf>
    <xf numFmtId="0" fontId="5" fillId="0" borderId="0" xfId="16" applyAlignment="1">
      <alignment horizontal="center" vertical="center"/>
    </xf>
    <xf numFmtId="14" fontId="5" fillId="0" borderId="0" xfId="16" applyNumberFormat="1" applyAlignment="1">
      <alignment vertical="center"/>
    </xf>
    <xf numFmtId="169" fontId="5" fillId="0" borderId="0" xfId="16" applyNumberFormat="1" applyAlignment="1">
      <alignment vertical="center"/>
    </xf>
    <xf numFmtId="0" fontId="5" fillId="0" borderId="0" xfId="16" applyAlignment="1">
      <alignment vertical="center"/>
    </xf>
    <xf numFmtId="169" fontId="30" fillId="0" borderId="0" xfId="16" applyNumberFormat="1" applyFont="1" applyAlignment="1">
      <alignment vertical="center"/>
    </xf>
    <xf numFmtId="169" fontId="32" fillId="0" borderId="0" xfId="16" applyNumberFormat="1" applyFont="1" applyAlignment="1">
      <alignment vertical="center"/>
    </xf>
    <xf numFmtId="172" fontId="5" fillId="0" borderId="0" xfId="16" applyNumberFormat="1" applyAlignment="1">
      <alignment horizontal="left" vertical="center"/>
    </xf>
    <xf numFmtId="0" fontId="30" fillId="0" borderId="0" xfId="16" applyFont="1" applyAlignment="1">
      <alignment vertical="center"/>
    </xf>
    <xf numFmtId="14" fontId="5" fillId="8" borderId="0" xfId="16" applyNumberFormat="1" applyFill="1" applyAlignment="1">
      <alignment vertical="center"/>
    </xf>
    <xf numFmtId="14" fontId="39" fillId="0" borderId="0" xfId="16" applyNumberFormat="1" applyFont="1" applyAlignment="1">
      <alignment vertical="center"/>
    </xf>
    <xf numFmtId="0" fontId="40" fillId="0" borderId="0" xfId="16" applyFont="1" applyAlignment="1">
      <alignment horizontal="left" vertical="center"/>
    </xf>
    <xf numFmtId="0" fontId="40" fillId="0" borderId="0" xfId="16" applyFont="1" applyAlignment="1">
      <alignment vertical="center"/>
    </xf>
    <xf numFmtId="0" fontId="5" fillId="8" borderId="0" xfId="16" applyFill="1" applyAlignment="1">
      <alignment vertical="center"/>
    </xf>
    <xf numFmtId="49" fontId="5" fillId="0" borderId="0" xfId="16" applyNumberFormat="1" applyAlignment="1">
      <alignment vertical="center"/>
    </xf>
    <xf numFmtId="14" fontId="5" fillId="0" borderId="0" xfId="16" applyNumberFormat="1" applyAlignment="1">
      <alignment horizontal="left" vertical="center"/>
    </xf>
    <xf numFmtId="169" fontId="5" fillId="8" borderId="0" xfId="16" applyNumberFormat="1" applyFill="1" applyAlignment="1">
      <alignment vertical="center"/>
    </xf>
    <xf numFmtId="169" fontId="5" fillId="0" borderId="0" xfId="16" applyNumberFormat="1"/>
    <xf numFmtId="0" fontId="5" fillId="0" borderId="0" xfId="16"/>
    <xf numFmtId="0" fontId="5" fillId="0" borderId="0" xfId="16" applyAlignment="1">
      <alignment horizontal="center"/>
    </xf>
    <xf numFmtId="0" fontId="5" fillId="0" borderId="0" xfId="19" applyAlignment="1">
      <alignment horizontal="center" vertical="center"/>
    </xf>
    <xf numFmtId="14" fontId="5" fillId="0" borderId="0" xfId="19" applyNumberFormat="1" applyAlignment="1">
      <alignment vertical="center"/>
    </xf>
    <xf numFmtId="169" fontId="5" fillId="0" borderId="0" xfId="19" applyNumberFormat="1" applyAlignment="1">
      <alignment vertical="center"/>
    </xf>
    <xf numFmtId="0" fontId="5" fillId="0" borderId="0" xfId="19" applyAlignment="1">
      <alignment vertical="center"/>
    </xf>
    <xf numFmtId="169" fontId="32" fillId="0" borderId="0" xfId="19" applyNumberFormat="1" applyFont="1" applyAlignment="1">
      <alignment vertical="center"/>
    </xf>
    <xf numFmtId="14" fontId="30" fillId="0" borderId="0" xfId="19" applyNumberFormat="1" applyFont="1" applyAlignment="1">
      <alignment vertical="center"/>
    </xf>
    <xf numFmtId="169" fontId="30" fillId="0" borderId="0" xfId="19" applyNumberFormat="1" applyFont="1" applyAlignment="1">
      <alignment vertical="center"/>
    </xf>
    <xf numFmtId="0" fontId="30" fillId="0" borderId="0" xfId="19" applyFont="1" applyAlignment="1">
      <alignment vertical="center"/>
    </xf>
    <xf numFmtId="0" fontId="5" fillId="8" borderId="0" xfId="19" applyFill="1" applyAlignment="1">
      <alignment vertical="center"/>
    </xf>
    <xf numFmtId="14" fontId="5" fillId="0" borderId="9" xfId="19" applyNumberFormat="1" applyBorder="1" applyAlignment="1">
      <alignment vertical="center"/>
    </xf>
    <xf numFmtId="1" fontId="5" fillId="0" borderId="11" xfId="19" applyNumberFormat="1" applyBorder="1" applyAlignment="1">
      <alignment horizontal="center" vertical="center"/>
    </xf>
    <xf numFmtId="0" fontId="5" fillId="0" borderId="0" xfId="19" applyAlignment="1">
      <alignment horizontal="left" vertical="center"/>
    </xf>
    <xf numFmtId="1" fontId="5" fillId="0" borderId="0" xfId="19" applyNumberFormat="1" applyAlignment="1">
      <alignment horizontal="center" vertical="center"/>
    </xf>
    <xf numFmtId="14" fontId="5" fillId="0" borderId="0" xfId="19" applyNumberFormat="1" applyAlignment="1">
      <alignment horizontal="left" vertical="center"/>
    </xf>
    <xf numFmtId="14" fontId="35" fillId="0" borderId="31" xfId="7" applyFont="1" applyBorder="1" applyAlignment="1">
      <alignment horizontal="left" vertical="center"/>
    </xf>
    <xf numFmtId="169" fontId="35" fillId="0" borderId="31" xfId="7" applyNumberFormat="1" applyFont="1" applyBorder="1"/>
    <xf numFmtId="4" fontId="25" fillId="0" borderId="0" xfId="19" applyNumberFormat="1" applyFont="1" applyAlignment="1">
      <alignment vertical="center"/>
    </xf>
    <xf numFmtId="168" fontId="35" fillId="0" borderId="31" xfId="7" applyNumberFormat="1" applyFont="1" applyBorder="1"/>
    <xf numFmtId="169" fontId="35" fillId="0" borderId="31" xfId="7" applyNumberFormat="1" applyFont="1" applyBorder="1" applyAlignment="1">
      <alignment horizontal="right"/>
    </xf>
    <xf numFmtId="0" fontId="34" fillId="0" borderId="0" xfId="19" applyFont="1" applyAlignment="1">
      <alignment horizontal="right" vertical="center"/>
    </xf>
    <xf numFmtId="169" fontId="25" fillId="0" borderId="0" xfId="19" applyNumberFormat="1" applyFont="1" applyAlignment="1">
      <alignment vertical="center"/>
    </xf>
    <xf numFmtId="165" fontId="25" fillId="0" borderId="0" xfId="17" applyFont="1" applyBorder="1" applyAlignment="1">
      <alignment vertical="center"/>
    </xf>
    <xf numFmtId="4" fontId="33" fillId="0" borderId="0" xfId="19" applyNumberFormat="1" applyFont="1" applyAlignment="1">
      <alignment vertical="center"/>
    </xf>
    <xf numFmtId="165" fontId="33" fillId="0" borderId="0" xfId="17" applyFont="1" applyBorder="1" applyAlignment="1">
      <alignment vertical="center"/>
    </xf>
    <xf numFmtId="169" fontId="33" fillId="0" borderId="0" xfId="17" applyNumberFormat="1" applyFont="1" applyBorder="1" applyAlignment="1">
      <alignment vertical="center"/>
    </xf>
    <xf numFmtId="4" fontId="5" fillId="0" borderId="0" xfId="19" applyNumberFormat="1" applyAlignment="1">
      <alignment vertical="center"/>
    </xf>
    <xf numFmtId="4" fontId="35" fillId="0" borderId="0" xfId="19" applyNumberFormat="1" applyFont="1" applyAlignment="1">
      <alignment horizontal="left" vertical="center"/>
    </xf>
    <xf numFmtId="168" fontId="23" fillId="0" borderId="0" xfId="19" applyNumberFormat="1" applyFont="1" applyAlignment="1">
      <alignment horizontal="right" vertical="center"/>
    </xf>
    <xf numFmtId="4" fontId="35" fillId="0" borderId="0" xfId="19" applyNumberFormat="1" applyFont="1" applyAlignment="1">
      <alignment vertical="center"/>
    </xf>
    <xf numFmtId="165" fontId="33" fillId="0" borderId="0" xfId="17" applyFont="1" applyBorder="1" applyAlignment="1">
      <alignment vertical="top"/>
    </xf>
    <xf numFmtId="169" fontId="36" fillId="0" borderId="0" xfId="17" applyNumberFormat="1" applyFont="1" applyBorder="1" applyAlignment="1">
      <alignment vertical="center"/>
    </xf>
    <xf numFmtId="0" fontId="5" fillId="0" borderId="33" xfId="19" applyBorder="1" applyAlignment="1">
      <alignment vertical="center"/>
    </xf>
    <xf numFmtId="0" fontId="23" fillId="0" borderId="17" xfId="19" applyFont="1" applyBorder="1" applyAlignment="1">
      <alignment horizontal="left" vertical="center"/>
    </xf>
    <xf numFmtId="0" fontId="5" fillId="0" borderId="18" xfId="19" applyBorder="1" applyAlignment="1">
      <alignment vertical="center"/>
    </xf>
    <xf numFmtId="14" fontId="5" fillId="0" borderId="34" xfId="19" applyNumberFormat="1" applyBorder="1" applyAlignment="1">
      <alignment horizontal="left" vertical="center" wrapText="1"/>
    </xf>
    <xf numFmtId="0" fontId="23" fillId="0" borderId="25" xfId="19" applyFont="1" applyBorder="1" applyAlignment="1">
      <alignment horizontal="left" vertical="center"/>
    </xf>
    <xf numFmtId="0" fontId="5" fillId="0" borderId="22" xfId="19" applyBorder="1" applyAlignment="1">
      <alignment vertical="center"/>
    </xf>
    <xf numFmtId="0" fontId="5" fillId="0" borderId="35" xfId="19" applyBorder="1" applyAlignment="1">
      <alignment vertical="center"/>
    </xf>
    <xf numFmtId="0" fontId="23" fillId="0" borderId="28" xfId="19" applyFont="1" applyBorder="1" applyAlignment="1">
      <alignment horizontal="left" vertical="center"/>
    </xf>
    <xf numFmtId="0" fontId="5" fillId="0" borderId="21" xfId="19" applyBorder="1" applyAlignment="1">
      <alignment vertical="center"/>
    </xf>
    <xf numFmtId="0" fontId="23" fillId="0" borderId="0" xfId="19" applyFont="1" applyAlignment="1">
      <alignment horizontal="left" vertical="center"/>
    </xf>
    <xf numFmtId="0" fontId="5" fillId="0" borderId="0" xfId="19" applyAlignment="1">
      <alignment horizontal="center"/>
    </xf>
    <xf numFmtId="0" fontId="5" fillId="0" borderId="0" xfId="19"/>
    <xf numFmtId="169" fontId="5" fillId="0" borderId="0" xfId="19" applyNumberFormat="1"/>
    <xf numFmtId="0" fontId="5" fillId="0" borderId="0" xfId="20" applyAlignment="1">
      <alignment horizontal="center" vertical="center"/>
    </xf>
    <xf numFmtId="14" fontId="5" fillId="0" borderId="0" xfId="20" applyNumberFormat="1" applyAlignment="1">
      <alignment vertical="center"/>
    </xf>
    <xf numFmtId="169" fontId="5" fillId="0" borderId="0" xfId="20" applyNumberFormat="1" applyAlignment="1">
      <alignment vertical="center"/>
    </xf>
    <xf numFmtId="0" fontId="5" fillId="0" borderId="0" xfId="20" applyAlignment="1">
      <alignment vertical="center"/>
    </xf>
    <xf numFmtId="169" fontId="23" fillId="0" borderId="0" xfId="20" applyNumberFormat="1" applyFont="1" applyAlignment="1">
      <alignment vertical="center"/>
    </xf>
    <xf numFmtId="0" fontId="23" fillId="0" borderId="0" xfId="20" applyFont="1" applyAlignment="1">
      <alignment vertical="center"/>
    </xf>
    <xf numFmtId="172" fontId="5" fillId="0" borderId="0" xfId="22" applyNumberFormat="1" applyAlignment="1">
      <alignment horizontal="left" vertical="center"/>
    </xf>
    <xf numFmtId="0" fontId="5" fillId="8" borderId="0" xfId="20" applyFill="1" applyAlignment="1">
      <alignment vertical="center"/>
    </xf>
    <xf numFmtId="169" fontId="30" fillId="0" borderId="0" xfId="20" applyNumberFormat="1" applyFont="1" applyAlignment="1">
      <alignment vertical="center"/>
    </xf>
    <xf numFmtId="4" fontId="35" fillId="0" borderId="0" xfId="20" applyNumberFormat="1" applyFont="1" applyAlignment="1">
      <alignment horizontal="left" vertical="center"/>
    </xf>
    <xf numFmtId="168" fontId="23" fillId="0" borderId="0" xfId="20" applyNumberFormat="1" applyFont="1" applyAlignment="1">
      <alignment horizontal="right" vertical="center"/>
    </xf>
    <xf numFmtId="4" fontId="35" fillId="0" borderId="0" xfId="20" applyNumberFormat="1" applyFont="1" applyAlignment="1">
      <alignment vertical="center"/>
    </xf>
    <xf numFmtId="0" fontId="23" fillId="0" borderId="37" xfId="20" applyFont="1" applyBorder="1" applyAlignment="1">
      <alignment horizontal="left" vertical="center"/>
    </xf>
    <xf numFmtId="0" fontId="23" fillId="0" borderId="0" xfId="20" applyFont="1" applyAlignment="1">
      <alignment horizontal="left" vertical="center"/>
    </xf>
    <xf numFmtId="0" fontId="23" fillId="0" borderId="38" xfId="20" applyFont="1" applyBorder="1" applyAlignment="1">
      <alignment horizontal="left" vertical="center"/>
    </xf>
    <xf numFmtId="14" fontId="23" fillId="0" borderId="0" xfId="20" applyNumberFormat="1" applyFont="1" applyAlignment="1">
      <alignment vertical="center"/>
    </xf>
    <xf numFmtId="0" fontId="5" fillId="0" borderId="0" xfId="20" applyAlignment="1">
      <alignment horizontal="center"/>
    </xf>
    <xf numFmtId="0" fontId="5" fillId="0" borderId="0" xfId="20"/>
    <xf numFmtId="169" fontId="5" fillId="0" borderId="0" xfId="20" applyNumberFormat="1"/>
    <xf numFmtId="0" fontId="32" fillId="0" borderId="0" xfId="16" applyFont="1" applyAlignment="1">
      <alignment horizontal="right" vertical="center"/>
    </xf>
    <xf numFmtId="172" fontId="32" fillId="0" borderId="0" xfId="16" applyNumberFormat="1" applyFont="1" applyAlignment="1">
      <alignment horizontal="left" vertical="center"/>
    </xf>
    <xf numFmtId="169" fontId="30" fillId="0" borderId="0" xfId="16" applyNumberFormat="1" applyFont="1" applyAlignment="1">
      <alignment horizontal="left" vertical="center"/>
    </xf>
    <xf numFmtId="0" fontId="30" fillId="0" borderId="0" xfId="16" applyFont="1" applyAlignment="1">
      <alignment horizontal="left" vertical="center"/>
    </xf>
    <xf numFmtId="14" fontId="30" fillId="0" borderId="0" xfId="16" applyNumberFormat="1" applyFont="1" applyAlignment="1">
      <alignment vertical="center"/>
    </xf>
    <xf numFmtId="14" fontId="23" fillId="0" borderId="1" xfId="16" applyNumberFormat="1" applyFont="1" applyBorder="1" applyAlignment="1">
      <alignment vertical="center"/>
    </xf>
    <xf numFmtId="0" fontId="23" fillId="0" borderId="1" xfId="16" applyFont="1" applyBorder="1" applyAlignment="1">
      <alignment vertical="center"/>
    </xf>
    <xf numFmtId="0" fontId="5" fillId="10" borderId="1" xfId="16" applyFill="1" applyBorder="1" applyAlignment="1">
      <alignment vertical="center"/>
    </xf>
    <xf numFmtId="14" fontId="10" fillId="10" borderId="1" xfId="7" applyFill="1" applyBorder="1" applyAlignment="1">
      <alignment horizontal="left" vertical="center"/>
    </xf>
    <xf numFmtId="0" fontId="5" fillId="0" borderId="1" xfId="16" applyBorder="1" applyAlignment="1">
      <alignment vertical="center"/>
    </xf>
    <xf numFmtId="14" fontId="10" fillId="0" borderId="1" xfId="7" applyBorder="1" applyAlignment="1">
      <alignment horizontal="left" vertical="center"/>
    </xf>
    <xf numFmtId="14" fontId="5" fillId="0" borderId="1" xfId="16" applyNumberFormat="1" applyBorder="1" applyAlignment="1">
      <alignment vertical="center"/>
    </xf>
    <xf numFmtId="0" fontId="32" fillId="0" borderId="0" xfId="16" applyFont="1" applyAlignment="1">
      <alignment vertical="center"/>
    </xf>
    <xf numFmtId="14" fontId="41" fillId="0" borderId="0" xfId="7" applyFont="1" applyAlignment="1">
      <alignment vertical="center"/>
    </xf>
    <xf numFmtId="169" fontId="43" fillId="0" borderId="0" xfId="16" applyNumberFormat="1" applyFont="1" applyAlignment="1">
      <alignment horizontal="center" vertical="top"/>
    </xf>
    <xf numFmtId="14" fontId="41" fillId="0" borderId="42" xfId="7" applyFont="1" applyBorder="1" applyAlignment="1">
      <alignment vertical="center" wrapText="1"/>
    </xf>
    <xf numFmtId="0" fontId="5" fillId="0" borderId="43" xfId="16" applyBorder="1" applyAlignment="1">
      <alignment vertical="center"/>
    </xf>
    <xf numFmtId="169" fontId="5" fillId="0" borderId="43" xfId="16" applyNumberFormat="1" applyBorder="1" applyAlignment="1">
      <alignment vertical="center"/>
    </xf>
    <xf numFmtId="169" fontId="41" fillId="0" borderId="1" xfId="7" applyNumberFormat="1" applyFont="1" applyBorder="1" applyAlignment="1">
      <alignment horizontal="right" vertical="center" wrapText="1"/>
    </xf>
    <xf numFmtId="169" fontId="43" fillId="0" borderId="0" xfId="16" applyNumberFormat="1" applyFont="1" applyAlignment="1">
      <alignment horizontal="center" vertical="center"/>
    </xf>
    <xf numFmtId="14" fontId="41" fillId="0" borderId="0" xfId="7" applyFont="1" applyAlignment="1">
      <alignment horizontal="left" vertical="center" wrapText="1"/>
    </xf>
    <xf numFmtId="169" fontId="41" fillId="0" borderId="0" xfId="7" applyNumberFormat="1" applyFont="1" applyAlignment="1">
      <alignment horizontal="right" vertical="center" wrapText="1"/>
    </xf>
    <xf numFmtId="14" fontId="45" fillId="0" borderId="0" xfId="7" applyFont="1" applyAlignment="1">
      <alignment horizontal="right" vertical="center"/>
    </xf>
    <xf numFmtId="169" fontId="32" fillId="0" borderId="46" xfId="16" applyNumberFormat="1" applyFont="1" applyBorder="1"/>
    <xf numFmtId="169" fontId="32" fillId="0" borderId="47" xfId="16" applyNumberFormat="1" applyFont="1" applyBorder="1"/>
    <xf numFmtId="0" fontId="32" fillId="0" borderId="0" xfId="16" applyFont="1"/>
    <xf numFmtId="169" fontId="32" fillId="0" borderId="49" xfId="16" applyNumberFormat="1" applyFont="1" applyBorder="1"/>
    <xf numFmtId="14" fontId="46" fillId="0" borderId="0" xfId="7" applyFont="1" applyAlignment="1">
      <alignment horizontal="left" vertical="center"/>
    </xf>
    <xf numFmtId="169" fontId="32" fillId="0" borderId="0" xfId="16" applyNumberFormat="1" applyFont="1"/>
    <xf numFmtId="169" fontId="32" fillId="0" borderId="51" xfId="16" applyNumberFormat="1" applyFont="1" applyBorder="1"/>
    <xf numFmtId="169" fontId="32" fillId="0" borderId="52" xfId="16" applyNumberFormat="1" applyFont="1" applyBorder="1"/>
    <xf numFmtId="14" fontId="22" fillId="0" borderId="0" xfId="7" applyFont="1" applyAlignment="1">
      <alignment horizontal="right" vertical="center"/>
    </xf>
    <xf numFmtId="169" fontId="5" fillId="0" borderId="47" xfId="16" applyNumberFormat="1" applyBorder="1"/>
    <xf numFmtId="169" fontId="5" fillId="0" borderId="49" xfId="16" applyNumberFormat="1" applyBorder="1"/>
    <xf numFmtId="169" fontId="5" fillId="0" borderId="52" xfId="16" applyNumberFormat="1" applyBorder="1"/>
    <xf numFmtId="14" fontId="5" fillId="0" borderId="0" xfId="16" applyNumberFormat="1"/>
    <xf numFmtId="169" fontId="35" fillId="0" borderId="0" xfId="16" applyNumberFormat="1" applyFont="1" applyAlignment="1">
      <alignment vertical="center"/>
    </xf>
    <xf numFmtId="14" fontId="41" fillId="0" borderId="0" xfId="7" applyFont="1" applyAlignment="1">
      <alignment horizontal="left" vertical="center"/>
    </xf>
    <xf numFmtId="0" fontId="4" fillId="0" borderId="32" xfId="19" applyFont="1" applyBorder="1" applyAlignment="1">
      <alignment horizontal="left" vertical="center"/>
    </xf>
    <xf numFmtId="0" fontId="47" fillId="0" borderId="32" xfId="7" applyNumberFormat="1" applyFont="1" applyBorder="1" applyAlignment="1">
      <alignment horizontal="center" vertical="center"/>
    </xf>
    <xf numFmtId="169" fontId="47" fillId="0" borderId="32" xfId="7" applyNumberFormat="1" applyFont="1" applyBorder="1" applyAlignment="1">
      <alignment vertical="center"/>
    </xf>
    <xf numFmtId="169" fontId="4" fillId="0" borderId="0" xfId="16" applyNumberFormat="1" applyFont="1"/>
    <xf numFmtId="0" fontId="4" fillId="0" borderId="0" xfId="16" applyFont="1"/>
    <xf numFmtId="0" fontId="4" fillId="0" borderId="0" xfId="16" applyFont="1" applyAlignment="1">
      <alignment horizontal="center"/>
    </xf>
    <xf numFmtId="14" fontId="48" fillId="0" borderId="0" xfId="7" applyFont="1" applyAlignment="1">
      <alignment horizontal="left" vertical="center"/>
    </xf>
    <xf numFmtId="0" fontId="4" fillId="0" borderId="0" xfId="3" applyFont="1" applyAlignment="1">
      <alignment horizontal="center" vertical="center"/>
    </xf>
    <xf numFmtId="14" fontId="4" fillId="0" borderId="0" xfId="3" applyNumberFormat="1" applyFont="1" applyAlignment="1">
      <alignment vertical="center"/>
    </xf>
    <xf numFmtId="169" fontId="4" fillId="0" borderId="0" xfId="3" applyNumberFormat="1" applyFont="1" applyAlignment="1">
      <alignment vertical="center"/>
    </xf>
    <xf numFmtId="0" fontId="4" fillId="0" borderId="0" xfId="3" applyFont="1" applyAlignment="1">
      <alignment vertical="center"/>
    </xf>
    <xf numFmtId="14" fontId="4" fillId="0" borderId="9" xfId="3" applyNumberFormat="1" applyFont="1" applyBorder="1" applyAlignment="1">
      <alignment vertical="center"/>
    </xf>
    <xf numFmtId="1" fontId="4" fillId="0" borderId="11" xfId="3" applyNumberFormat="1" applyFont="1" applyBorder="1" applyAlignment="1">
      <alignment horizontal="center" vertical="center"/>
    </xf>
    <xf numFmtId="0" fontId="4" fillId="0" borderId="0" xfId="3" applyFont="1" applyAlignment="1">
      <alignment horizontal="left" vertical="center"/>
    </xf>
    <xf numFmtId="1" fontId="4" fillId="0" borderId="0" xfId="3" applyNumberFormat="1" applyFont="1" applyAlignment="1">
      <alignment horizontal="center" vertical="center"/>
    </xf>
    <xf numFmtId="14" fontId="4" fillId="0" borderId="0" xfId="3" applyNumberFormat="1" applyFont="1" applyAlignment="1">
      <alignment horizontal="left" vertical="center"/>
    </xf>
    <xf numFmtId="0" fontId="4" fillId="0" borderId="0" xfId="3" applyFont="1" applyAlignment="1">
      <alignment vertical="center" wrapText="1"/>
    </xf>
    <xf numFmtId="4" fontId="4" fillId="0" borderId="0" xfId="3" applyNumberFormat="1" applyFont="1" applyAlignment="1">
      <alignment vertical="center"/>
    </xf>
    <xf numFmtId="169" fontId="4" fillId="0" borderId="18" xfId="3" applyNumberFormat="1" applyFont="1" applyBorder="1" applyAlignment="1">
      <alignment vertical="center"/>
    </xf>
    <xf numFmtId="169" fontId="4" fillId="0" borderId="22" xfId="3" applyNumberFormat="1" applyFont="1" applyBorder="1" applyAlignment="1">
      <alignment vertical="center"/>
    </xf>
    <xf numFmtId="169" fontId="4" fillId="0" borderId="21" xfId="3" applyNumberFormat="1" applyFont="1" applyBorder="1" applyAlignment="1">
      <alignment vertical="center"/>
    </xf>
    <xf numFmtId="0" fontId="48" fillId="0" borderId="0" xfId="0" applyNumberFormat="1" applyFont="1" applyAlignment="1">
      <alignment horizontal="left" vertical="center"/>
    </xf>
    <xf numFmtId="14" fontId="48" fillId="0" borderId="0" xfId="0" applyFont="1" applyAlignment="1">
      <alignment vertical="center"/>
    </xf>
    <xf numFmtId="4" fontId="48" fillId="0" borderId="1" xfId="3" applyNumberFormat="1" applyFont="1" applyBorder="1" applyAlignment="1">
      <alignment vertical="center"/>
    </xf>
    <xf numFmtId="165" fontId="50" fillId="0" borderId="1" xfId="5" applyFont="1" applyBorder="1" applyAlignment="1">
      <alignment vertical="center"/>
    </xf>
    <xf numFmtId="165" fontId="48" fillId="0" borderId="1" xfId="5" applyFont="1" applyBorder="1" applyAlignment="1">
      <alignment vertical="center"/>
    </xf>
    <xf numFmtId="4" fontId="49" fillId="0" borderId="1" xfId="3" applyNumberFormat="1" applyFont="1" applyBorder="1" applyAlignment="1">
      <alignment vertical="center"/>
    </xf>
    <xf numFmtId="165" fontId="49" fillId="0" borderId="1" xfId="5" applyFont="1" applyBorder="1" applyAlignment="1">
      <alignment vertical="center"/>
    </xf>
    <xf numFmtId="169" fontId="49" fillId="0" borderId="0" xfId="5" applyNumberFormat="1" applyFont="1" applyBorder="1" applyAlignment="1">
      <alignment vertical="center"/>
    </xf>
    <xf numFmtId="165" fontId="48" fillId="0" borderId="0" xfId="5" applyFont="1" applyBorder="1" applyAlignment="1">
      <alignment vertical="center"/>
    </xf>
    <xf numFmtId="169" fontId="51" fillId="0" borderId="0" xfId="5" applyNumberFormat="1" applyFont="1" applyBorder="1" applyAlignment="1">
      <alignment vertical="center"/>
    </xf>
    <xf numFmtId="4" fontId="49" fillId="0" borderId="0" xfId="3" applyNumberFormat="1" applyFont="1" applyAlignment="1">
      <alignment vertical="center"/>
    </xf>
    <xf numFmtId="165" fontId="49" fillId="0" borderId="0" xfId="5" applyFont="1" applyBorder="1" applyAlignment="1">
      <alignment vertical="center"/>
    </xf>
    <xf numFmtId="169" fontId="49" fillId="0" borderId="1" xfId="5" applyNumberFormat="1" applyFont="1" applyBorder="1" applyAlignment="1">
      <alignment vertical="center" wrapText="1"/>
    </xf>
    <xf numFmtId="4" fontId="49" fillId="0" borderId="1" xfId="3" applyNumberFormat="1" applyFont="1" applyBorder="1" applyAlignment="1">
      <alignment vertical="center" wrapText="1"/>
    </xf>
    <xf numFmtId="169" fontId="48" fillId="0" borderId="0" xfId="4" applyNumberFormat="1" applyFont="1" applyAlignment="1">
      <alignment vertical="center"/>
    </xf>
    <xf numFmtId="4" fontId="37" fillId="0" borderId="0" xfId="3" applyNumberFormat="1" applyFont="1" applyAlignment="1">
      <alignment horizontal="left" vertical="center" wrapText="1"/>
    </xf>
    <xf numFmtId="14" fontId="48" fillId="0" borderId="0" xfId="0" applyFont="1" applyAlignment="1">
      <alignment horizontal="right" vertical="center"/>
    </xf>
    <xf numFmtId="0" fontId="4" fillId="0" borderId="0" xfId="3" applyFont="1" applyAlignment="1">
      <alignment horizontal="right" vertical="center"/>
    </xf>
    <xf numFmtId="0" fontId="3" fillId="0" borderId="0" xfId="22" applyFont="1" applyAlignment="1">
      <alignment horizontal="right" vertical="center"/>
    </xf>
    <xf numFmtId="0" fontId="3" fillId="0" borderId="0" xfId="16" applyFont="1" applyAlignment="1">
      <alignment horizontal="right" vertical="center"/>
    </xf>
    <xf numFmtId="0" fontId="2" fillId="0" borderId="0" xfId="20" applyFont="1" applyAlignment="1">
      <alignment horizontal="center" vertical="center"/>
    </xf>
    <xf numFmtId="0" fontId="2" fillId="0" borderId="0" xfId="20" applyFont="1" applyAlignment="1">
      <alignment vertical="center"/>
    </xf>
    <xf numFmtId="14" fontId="2" fillId="0" borderId="0" xfId="20" applyNumberFormat="1" applyFont="1" applyAlignment="1">
      <alignment vertical="center"/>
    </xf>
    <xf numFmtId="169" fontId="2" fillId="0" borderId="0" xfId="20" applyNumberFormat="1" applyFont="1" applyAlignment="1">
      <alignment vertical="center"/>
    </xf>
    <xf numFmtId="14" fontId="2" fillId="0" borderId="9" xfId="20" applyNumberFormat="1" applyFont="1" applyBorder="1" applyAlignment="1">
      <alignment vertical="center"/>
    </xf>
    <xf numFmtId="0" fontId="2" fillId="0" borderId="11" xfId="20" applyFont="1" applyBorder="1" applyAlignment="1">
      <alignment horizontal="center" vertical="center"/>
    </xf>
    <xf numFmtId="0" fontId="2" fillId="9" borderId="0" xfId="20" applyFont="1" applyFill="1" applyAlignment="1">
      <alignment vertical="center"/>
    </xf>
    <xf numFmtId="0" fontId="2" fillId="0" borderId="0" xfId="20" applyFont="1" applyAlignment="1">
      <alignment horizontal="left" vertical="center"/>
    </xf>
    <xf numFmtId="1" fontId="2" fillId="0" borderId="0" xfId="20" applyNumberFormat="1" applyFont="1" applyAlignment="1">
      <alignment horizontal="center" vertical="center"/>
    </xf>
    <xf numFmtId="14" fontId="2" fillId="0" borderId="0" xfId="20" applyNumberFormat="1" applyFont="1" applyAlignment="1">
      <alignment horizontal="left" vertical="center"/>
    </xf>
    <xf numFmtId="14" fontId="23" fillId="0" borderId="36" xfId="7" applyFont="1" applyBorder="1" applyAlignment="1">
      <alignment horizontal="left" vertical="center"/>
    </xf>
    <xf numFmtId="14" fontId="23" fillId="0" borderId="36" xfId="7" applyFont="1" applyBorder="1" applyAlignment="1">
      <alignment horizontal="center" vertical="center"/>
    </xf>
    <xf numFmtId="14" fontId="23" fillId="0" borderId="0" xfId="7" applyFont="1" applyAlignment="1">
      <alignment horizontal="center" vertical="center"/>
    </xf>
    <xf numFmtId="0" fontId="2" fillId="0" borderId="32" xfId="20" applyFont="1" applyBorder="1" applyAlignment="1">
      <alignment horizontal="left" vertical="center" wrapText="1"/>
    </xf>
    <xf numFmtId="0" fontId="47" fillId="0" borderId="32" xfId="7" applyNumberFormat="1" applyFont="1" applyBorder="1" applyAlignment="1">
      <alignment horizontal="left" vertical="center"/>
    </xf>
    <xf numFmtId="169" fontId="47" fillId="0" borderId="32" xfId="7" applyNumberFormat="1" applyFont="1" applyBorder="1" applyAlignment="1">
      <alignment horizontal="center" vertical="center"/>
    </xf>
    <xf numFmtId="0" fontId="2" fillId="0" borderId="32" xfId="20" applyFont="1" applyBorder="1" applyAlignment="1">
      <alignment horizontal="left" vertical="center"/>
    </xf>
    <xf numFmtId="4" fontId="25" fillId="0" borderId="0" xfId="20" applyNumberFormat="1" applyFont="1" applyAlignment="1">
      <alignment vertical="center"/>
    </xf>
    <xf numFmtId="0" fontId="34" fillId="0" borderId="0" xfId="20" applyFont="1" applyAlignment="1">
      <alignment horizontal="right" vertical="center"/>
    </xf>
    <xf numFmtId="169" fontId="25" fillId="0" borderId="0" xfId="20" applyNumberFormat="1" applyFont="1" applyAlignment="1">
      <alignment vertical="center"/>
    </xf>
    <xf numFmtId="165" fontId="25" fillId="0" borderId="0" xfId="18" applyFont="1" applyBorder="1" applyAlignment="1">
      <alignment vertical="center"/>
    </xf>
    <xf numFmtId="4" fontId="2" fillId="0" borderId="0" xfId="20" applyNumberFormat="1" applyFont="1" applyAlignment="1">
      <alignment vertical="center"/>
    </xf>
    <xf numFmtId="169" fontId="36" fillId="0" borderId="0" xfId="18" applyNumberFormat="1" applyFont="1" applyBorder="1" applyAlignment="1">
      <alignment vertical="center"/>
    </xf>
    <xf numFmtId="165" fontId="33" fillId="0" borderId="0" xfId="18" applyFont="1" applyBorder="1" applyAlignment="1">
      <alignment vertical="center"/>
    </xf>
    <xf numFmtId="4" fontId="52" fillId="0" borderId="0" xfId="20" applyNumberFormat="1" applyFont="1" applyAlignment="1">
      <alignment horizontal="left" vertical="center" wrapText="1"/>
    </xf>
    <xf numFmtId="14" fontId="2" fillId="0" borderId="0" xfId="20" applyNumberFormat="1" applyFont="1" applyAlignment="1">
      <alignment horizontal="left" vertical="center" wrapText="1"/>
    </xf>
    <xf numFmtId="14" fontId="2" fillId="0" borderId="17" xfId="20" applyNumberFormat="1" applyFont="1" applyBorder="1" applyAlignment="1">
      <alignment horizontal="left" vertical="center" wrapText="1"/>
    </xf>
    <xf numFmtId="169" fontId="2" fillId="0" borderId="18" xfId="20" applyNumberFormat="1" applyFont="1" applyBorder="1" applyAlignment="1">
      <alignment vertical="center"/>
    </xf>
    <xf numFmtId="14" fontId="2" fillId="0" borderId="25" xfId="20" applyNumberFormat="1" applyFont="1" applyBorder="1" applyAlignment="1">
      <alignment horizontal="left" vertical="center" wrapText="1"/>
    </xf>
    <xf numFmtId="169" fontId="2" fillId="0" borderId="22" xfId="20" applyNumberFormat="1" applyFont="1" applyBorder="1" applyAlignment="1">
      <alignment vertical="center"/>
    </xf>
    <xf numFmtId="14" fontId="2" fillId="0" borderId="28" xfId="20" applyNumberFormat="1" applyFont="1" applyBorder="1" applyAlignment="1">
      <alignment horizontal="left" vertical="center" wrapText="1"/>
    </xf>
    <xf numFmtId="169" fontId="2" fillId="0" borderId="21" xfId="20" applyNumberFormat="1" applyFont="1" applyBorder="1" applyAlignment="1">
      <alignment vertical="center"/>
    </xf>
    <xf numFmtId="0" fontId="32" fillId="0" borderId="45" xfId="16" applyFont="1" applyBorder="1"/>
    <xf numFmtId="0" fontId="32" fillId="0" borderId="48" xfId="16" applyFont="1" applyBorder="1"/>
    <xf numFmtId="0" fontId="32" fillId="0" borderId="48" xfId="16" applyFont="1" applyBorder="1" applyAlignment="1">
      <alignment horizontal="left" vertical="center"/>
    </xf>
    <xf numFmtId="0" fontId="32" fillId="0" borderId="50" xfId="16" applyFont="1" applyBorder="1"/>
    <xf numFmtId="14" fontId="32" fillId="0" borderId="0" xfId="16" applyNumberFormat="1" applyFont="1" applyAlignment="1">
      <alignment vertical="center"/>
    </xf>
    <xf numFmtId="0" fontId="32" fillId="0" borderId="0" xfId="16" applyFont="1" applyAlignment="1">
      <alignment horizontal="center" vertical="center"/>
    </xf>
    <xf numFmtId="14" fontId="30" fillId="0" borderId="0" xfId="16" applyNumberFormat="1" applyFont="1" applyAlignment="1">
      <alignment horizontal="left" vertical="center"/>
    </xf>
    <xf numFmtId="1" fontId="32" fillId="0" borderId="0" xfId="16" applyNumberFormat="1" applyFont="1" applyAlignment="1">
      <alignment horizontal="center" vertical="center"/>
    </xf>
    <xf numFmtId="14" fontId="32" fillId="0" borderId="0" xfId="16" applyNumberFormat="1" applyFont="1" applyAlignment="1">
      <alignment horizontal="left" vertical="center"/>
    </xf>
    <xf numFmtId="14" fontId="46" fillId="0" borderId="0" xfId="7" applyFont="1" applyAlignment="1">
      <alignment vertical="center" wrapText="1"/>
    </xf>
    <xf numFmtId="14" fontId="53" fillId="0" borderId="39" xfId="7" applyFont="1" applyBorder="1" applyAlignment="1">
      <alignment vertical="center" wrapText="1"/>
    </xf>
    <xf numFmtId="169" fontId="53" fillId="0" borderId="39" xfId="7" applyNumberFormat="1" applyFont="1" applyBorder="1" applyAlignment="1">
      <alignment vertical="center" wrapText="1"/>
    </xf>
    <xf numFmtId="169" fontId="53" fillId="0" borderId="40" xfId="7" applyNumberFormat="1" applyFont="1" applyBorder="1" applyAlignment="1">
      <alignment vertical="center" wrapText="1"/>
    </xf>
    <xf numFmtId="0" fontId="53" fillId="0" borderId="39" xfId="7" applyNumberFormat="1" applyFont="1" applyBorder="1" applyAlignment="1">
      <alignment horizontal="left" vertical="center"/>
    </xf>
    <xf numFmtId="14" fontId="46" fillId="0" borderId="41" xfId="7" applyFont="1" applyBorder="1" applyAlignment="1">
      <alignment vertical="center"/>
    </xf>
    <xf numFmtId="0" fontId="46" fillId="0" borderId="39" xfId="7" applyNumberFormat="1" applyFont="1" applyBorder="1" applyAlignment="1">
      <alignment horizontal="center" vertical="center" wrapText="1"/>
    </xf>
    <xf numFmtId="14" fontId="46" fillId="0" borderId="39" xfId="7" applyFont="1" applyBorder="1" applyAlignment="1">
      <alignment horizontal="center" vertical="center" wrapText="1"/>
    </xf>
    <xf numFmtId="0" fontId="46" fillId="0" borderId="0" xfId="7" applyNumberFormat="1" applyFont="1" applyAlignment="1">
      <alignment horizontal="left" vertical="center"/>
    </xf>
    <xf numFmtId="2" fontId="46" fillId="0" borderId="0" xfId="7" applyNumberFormat="1" applyFont="1" applyAlignment="1">
      <alignment vertical="center"/>
    </xf>
    <xf numFmtId="14" fontId="46" fillId="0" borderId="0" xfId="7" applyFont="1" applyAlignment="1">
      <alignment vertical="center"/>
    </xf>
    <xf numFmtId="14" fontId="46" fillId="0" borderId="0" xfId="7" applyFont="1" applyAlignment="1">
      <alignment horizontal="right" vertical="center"/>
    </xf>
    <xf numFmtId="14" fontId="46" fillId="0" borderId="0" xfId="7" applyFont="1"/>
    <xf numFmtId="14" fontId="46" fillId="0" borderId="0" xfId="7" applyFont="1" applyAlignment="1">
      <alignment horizontal="justify" vertical="top" wrapText="1"/>
    </xf>
    <xf numFmtId="14" fontId="46" fillId="0" borderId="0" xfId="7" applyFont="1" applyAlignment="1">
      <alignment horizontal="left" vertical="top" wrapText="1"/>
    </xf>
    <xf numFmtId="14" fontId="46" fillId="0" borderId="39" xfId="7" applyFont="1" applyBorder="1" applyAlignment="1">
      <alignment horizontal="left" vertical="center"/>
    </xf>
    <xf numFmtId="0" fontId="32" fillId="0" borderId="0" xfId="16" applyFont="1" applyAlignment="1">
      <alignment horizontal="center"/>
    </xf>
    <xf numFmtId="0" fontId="1" fillId="0" borderId="0" xfId="16" applyFont="1" applyAlignment="1">
      <alignment vertical="center"/>
    </xf>
    <xf numFmtId="169" fontId="23" fillId="0" borderId="1" xfId="5" applyNumberFormat="1" applyFont="1" applyBorder="1" applyAlignment="1">
      <alignment horizontal="right" vertical="center"/>
    </xf>
    <xf numFmtId="0" fontId="10" fillId="0" borderId="0" xfId="0" applyNumberFormat="1" applyFont="1" applyAlignment="1">
      <alignment vertical="center"/>
    </xf>
    <xf numFmtId="14" fontId="10" fillId="4" borderId="1" xfId="0" applyFont="1" applyFill="1" applyBorder="1" applyAlignment="1">
      <alignment horizontal="center" vertical="center"/>
    </xf>
    <xf numFmtId="14" fontId="55" fillId="0" borderId="1" xfId="0" pivotButton="1" applyFont="1" applyBorder="1" applyAlignment="1">
      <alignment vertical="center" wrapText="1"/>
    </xf>
    <xf numFmtId="169" fontId="55" fillId="0" borderId="1" xfId="0" pivotButton="1" applyNumberFormat="1" applyFont="1" applyBorder="1" applyAlignment="1">
      <alignment vertical="center" wrapText="1"/>
    </xf>
    <xf numFmtId="14" fontId="55" fillId="0" borderId="1" xfId="0" applyFont="1" applyBorder="1" applyAlignment="1">
      <alignment vertical="center"/>
    </xf>
    <xf numFmtId="0" fontId="55" fillId="0" borderId="1" xfId="0" applyNumberFormat="1" applyFont="1" applyBorder="1" applyAlignment="1">
      <alignment horizontal="left" vertical="center"/>
    </xf>
    <xf numFmtId="14" fontId="55" fillId="0" borderId="1" xfId="0" applyFont="1" applyBorder="1" applyAlignment="1">
      <alignment horizontal="left" vertical="center"/>
    </xf>
    <xf numFmtId="14" fontId="55" fillId="0" borderId="1" xfId="0" applyFont="1" applyBorder="1" applyAlignment="1">
      <alignment horizontal="right" vertical="center"/>
    </xf>
    <xf numFmtId="173" fontId="55" fillId="0" borderId="1" xfId="0" applyNumberFormat="1" applyFont="1" applyBorder="1" applyAlignment="1">
      <alignment vertical="center"/>
    </xf>
    <xf numFmtId="14" fontId="14" fillId="5" borderId="5" xfId="0" applyFont="1" applyFill="1" applyBorder="1" applyAlignment="1">
      <alignment horizontal="center" vertical="center"/>
    </xf>
    <xf numFmtId="14" fontId="14" fillId="5" borderId="3" xfId="0" applyFont="1" applyFill="1" applyBorder="1" applyAlignment="1">
      <alignment horizontal="center" vertical="center"/>
    </xf>
    <xf numFmtId="169" fontId="15" fillId="0" borderId="9" xfId="1" applyNumberFormat="1" applyFont="1" applyBorder="1" applyAlignment="1">
      <alignment horizontal="center" vertical="center"/>
    </xf>
    <xf numFmtId="169" fontId="15" fillId="0" borderId="10" xfId="1" applyNumberFormat="1" applyFont="1" applyBorder="1" applyAlignment="1">
      <alignment horizontal="center" vertical="center"/>
    </xf>
    <xf numFmtId="169" fontId="15" fillId="0" borderId="11" xfId="1" applyNumberFormat="1" applyFont="1" applyBorder="1" applyAlignment="1">
      <alignment horizontal="center" vertical="center"/>
    </xf>
    <xf numFmtId="4" fontId="24" fillId="0" borderId="0" xfId="3" applyNumberFormat="1" applyFont="1" applyAlignment="1">
      <alignment horizontal="justify" vertical="center" wrapText="1"/>
    </xf>
    <xf numFmtId="165" fontId="21" fillId="0" borderId="0" xfId="3" applyNumberFormat="1" applyFont="1" applyAlignment="1">
      <alignment horizontal="left" vertical="center"/>
    </xf>
    <xf numFmtId="0" fontId="23" fillId="0" borderId="9" xfId="3" applyFont="1" applyBorder="1" applyAlignment="1">
      <alignment horizontal="center" vertical="center"/>
    </xf>
    <xf numFmtId="0" fontId="23" fillId="0" borderId="10" xfId="3" applyFont="1" applyBorder="1" applyAlignment="1">
      <alignment horizontal="center" vertical="center"/>
    </xf>
    <xf numFmtId="0" fontId="23" fillId="0" borderId="11" xfId="3" applyFont="1" applyBorder="1" applyAlignment="1">
      <alignment horizontal="center" vertical="center"/>
    </xf>
    <xf numFmtId="4" fontId="23" fillId="0" borderId="9" xfId="4" applyNumberFormat="1" applyFont="1" applyBorder="1" applyAlignment="1">
      <alignment horizontal="center" vertical="center"/>
    </xf>
    <xf numFmtId="4" fontId="23" fillId="0" borderId="10" xfId="4" applyNumberFormat="1" applyFont="1" applyBorder="1" applyAlignment="1">
      <alignment horizontal="center" vertical="center"/>
    </xf>
    <xf numFmtId="4" fontId="23" fillId="0" borderId="11" xfId="4" applyNumberFormat="1" applyFont="1" applyBorder="1" applyAlignment="1">
      <alignment horizontal="center" vertical="center"/>
    </xf>
    <xf numFmtId="4" fontId="37" fillId="0" borderId="14" xfId="3" applyNumberFormat="1" applyFont="1" applyBorder="1" applyAlignment="1">
      <alignment vertical="center" wrapText="1"/>
    </xf>
    <xf numFmtId="4" fontId="37" fillId="0" borderId="13" xfId="3" applyNumberFormat="1" applyFont="1" applyBorder="1" applyAlignment="1">
      <alignment vertical="center" wrapText="1"/>
    </xf>
    <xf numFmtId="14" fontId="4" fillId="0" borderId="17" xfId="3" applyNumberFormat="1" applyFont="1" applyBorder="1" applyAlignment="1">
      <alignment horizontal="left" vertical="center" wrapText="1"/>
    </xf>
    <xf numFmtId="14" fontId="4" fillId="0" borderId="23" xfId="3" applyNumberFormat="1" applyFont="1" applyBorder="1" applyAlignment="1">
      <alignment horizontal="left" vertical="center" wrapText="1"/>
    </xf>
    <xf numFmtId="14" fontId="4" fillId="0" borderId="25" xfId="3" applyNumberFormat="1" applyFont="1" applyBorder="1" applyAlignment="1">
      <alignment horizontal="left" vertical="center" wrapText="1"/>
    </xf>
    <xf numFmtId="14" fontId="4" fillId="0" borderId="26" xfId="3" applyNumberFormat="1" applyFont="1" applyBorder="1" applyAlignment="1">
      <alignment horizontal="left" vertical="center" wrapText="1"/>
    </xf>
    <xf numFmtId="14" fontId="4" fillId="0" borderId="28" xfId="3" applyNumberFormat="1" applyFont="1" applyBorder="1" applyAlignment="1">
      <alignment horizontal="left" vertical="center" wrapText="1"/>
    </xf>
    <xf numFmtId="14" fontId="4" fillId="0" borderId="29" xfId="3" applyNumberFormat="1" applyFont="1" applyBorder="1" applyAlignment="1">
      <alignment horizontal="left" vertical="center" wrapText="1"/>
    </xf>
    <xf numFmtId="0" fontId="5" fillId="0" borderId="0" xfId="19" applyAlignment="1">
      <alignment horizontal="justify" vertical="center" wrapText="1"/>
    </xf>
    <xf numFmtId="4" fontId="2" fillId="0" borderId="0" xfId="20" applyNumberFormat="1" applyFont="1" applyAlignment="1">
      <alignment horizontal="justify" vertical="center" wrapText="1"/>
    </xf>
    <xf numFmtId="14" fontId="46" fillId="0" borderId="0" xfId="7" applyFont="1" applyAlignment="1">
      <alignment horizontal="justify" vertical="top"/>
    </xf>
    <xf numFmtId="14" fontId="46" fillId="0" borderId="0" xfId="7" applyFont="1" applyAlignment="1">
      <alignment horizontal="justify" vertical="top" wrapText="1"/>
    </xf>
    <xf numFmtId="14" fontId="46" fillId="0" borderId="39" xfId="7" applyFont="1" applyBorder="1" applyAlignment="1">
      <alignment horizontal="right" vertical="center"/>
    </xf>
    <xf numFmtId="169" fontId="46" fillId="0" borderId="39" xfId="7" applyNumberFormat="1" applyFont="1" applyBorder="1" applyAlignment="1">
      <alignment horizontal="right" vertical="center"/>
    </xf>
    <xf numFmtId="14" fontId="41" fillId="0" borderId="0" xfId="7" applyFont="1" applyAlignment="1">
      <alignment horizontal="justify" vertical="top" wrapText="1"/>
    </xf>
    <xf numFmtId="14" fontId="41" fillId="0" borderId="0" xfId="7" applyFont="1" applyAlignment="1">
      <alignment horizontal="justify" vertical="center"/>
    </xf>
    <xf numFmtId="14" fontId="41" fillId="0" borderId="42" xfId="7" applyFont="1" applyBorder="1" applyAlignment="1">
      <alignment horizontal="justify" vertical="center" wrapText="1"/>
    </xf>
    <xf numFmtId="14" fontId="41" fillId="0" borderId="43" xfId="7" applyFont="1" applyBorder="1" applyAlignment="1">
      <alignment horizontal="justify" vertical="center" wrapText="1"/>
    </xf>
    <xf numFmtId="14" fontId="41" fillId="0" borderId="44" xfId="7" applyFont="1" applyBorder="1" applyAlignment="1">
      <alignment horizontal="justify" vertical="center" wrapText="1"/>
    </xf>
    <xf numFmtId="0" fontId="32" fillId="0" borderId="0" xfId="16" applyFont="1" applyAlignment="1">
      <alignment horizontal="justify" vertical="center"/>
    </xf>
  </cellXfs>
  <cellStyles count="23">
    <cellStyle name="Milliers 2" xfId="4" xr:uid="{00000000-0005-0000-0000-000000000000}"/>
    <cellStyle name="Milliers 2 2" xfId="9" xr:uid="{00000000-0005-0000-0000-000001000000}"/>
    <cellStyle name="Monétaire" xfId="1" builtinId="4"/>
    <cellStyle name="Monétaire [0]" xfId="2" builtinId="7"/>
    <cellStyle name="Monétaire [0] 2" xfId="10" xr:uid="{00000000-0005-0000-0000-000004000000}"/>
    <cellStyle name="Monétaire 2" xfId="5" xr:uid="{00000000-0005-0000-0000-000005000000}"/>
    <cellStyle name="Monétaire 2 2" xfId="8" xr:uid="{00000000-0005-0000-0000-000006000000}"/>
    <cellStyle name="Monétaire 2 2 2" xfId="17" xr:uid="{00000000-0005-0000-0000-000007000000}"/>
    <cellStyle name="Monétaire 2 2 3" xfId="18" xr:uid="{00000000-0005-0000-0000-000008000000}"/>
    <cellStyle name="Monétaire 2 3" xfId="11" xr:uid="{00000000-0005-0000-0000-000009000000}"/>
    <cellStyle name="Monétaire 3" xfId="12" xr:uid="{00000000-0005-0000-0000-00000A000000}"/>
    <cellStyle name="Normal" xfId="0" builtinId="0"/>
    <cellStyle name="Normal 2" xfId="3" xr:uid="{00000000-0005-0000-0000-00000C000000}"/>
    <cellStyle name="Normal 2 2" xfId="6" xr:uid="{00000000-0005-0000-0000-00000D000000}"/>
    <cellStyle name="Normal 2 2 2" xfId="19" xr:uid="{00000000-0005-0000-0000-00000E000000}"/>
    <cellStyle name="Normal 2 2 3" xfId="20" xr:uid="{00000000-0005-0000-0000-00000F000000}"/>
    <cellStyle name="Normal 2 3" xfId="13" xr:uid="{00000000-0005-0000-0000-000010000000}"/>
    <cellStyle name="Normal 2 4" xfId="14" xr:uid="{00000000-0005-0000-0000-000011000000}"/>
    <cellStyle name="Normal 2 5" xfId="15" xr:uid="{00000000-0005-0000-0000-000012000000}"/>
    <cellStyle name="Normal 2 5 2" xfId="16" xr:uid="{00000000-0005-0000-0000-000013000000}"/>
    <cellStyle name="Normal 2 5 2 2" xfId="21" xr:uid="{00000000-0005-0000-0000-000014000000}"/>
    <cellStyle name="Normal 2 5 3" xfId="22" xr:uid="{00000000-0005-0000-0000-000015000000}"/>
    <cellStyle name="Normal 3" xfId="7" xr:uid="{00000000-0005-0000-0000-000016000000}"/>
  </cellStyles>
  <dxfs count="103">
    <dxf>
      <border>
        <top style="thin">
          <color auto="1"/>
        </top>
        <vertical/>
        <horizontal/>
      </border>
    </dxf>
    <dxf>
      <border>
        <top style="thin">
          <color auto="1"/>
        </top>
        <vertical/>
        <horizontal/>
      </border>
    </dxf>
    <dxf>
      <border>
        <left/>
        <right/>
        <top style="thin">
          <color auto="1"/>
        </top>
        <bottom/>
        <vertical/>
        <horizontal/>
      </border>
    </dxf>
    <dxf>
      <border>
        <left/>
        <right/>
        <top/>
        <bottom/>
        <vertical/>
        <horizontal/>
      </border>
    </dxf>
    <dxf>
      <border>
        <left/>
        <right/>
        <top/>
        <bottom/>
        <vertical/>
        <horizontal/>
      </border>
    </dxf>
    <dxf>
      <border>
        <top style="thin">
          <color auto="1"/>
        </top>
        <vertical/>
        <horizontal/>
      </border>
    </dxf>
    <dxf>
      <border>
        <top style="thin">
          <color auto="1"/>
        </top>
        <vertical/>
        <horizontal/>
      </border>
    </dxf>
    <dxf>
      <border>
        <left/>
        <right/>
        <top style="thin">
          <color auto="1"/>
        </top>
        <bottom/>
        <vertical/>
        <horizontal/>
      </border>
    </dxf>
    <dxf>
      <border>
        <vertical/>
        <horizontal/>
      </border>
    </dxf>
    <dxf>
      <border>
        <left/>
        <right/>
        <top/>
        <bottom/>
        <vertical/>
        <horizontal/>
      </border>
    </dxf>
    <dxf>
      <border>
        <top style="thin">
          <color auto="1"/>
        </top>
        <vertical/>
        <horizontal/>
      </border>
    </dxf>
    <dxf>
      <numFmt numFmtId="168" formatCode="#,##0.00\ &quot;€&quot;"/>
    </dxf>
    <dxf>
      <numFmt numFmtId="1" formatCode="0"/>
    </dxf>
    <dxf>
      <numFmt numFmtId="173" formatCode="m/d/yyyy"/>
    </dxf>
    <dxf>
      <numFmt numFmtId="168" formatCode="#,##0.00\ &quot;€&quot;"/>
    </dxf>
    <dxf>
      <numFmt numFmtId="168" formatCode="#,##0.00\ &quot;€&quot;"/>
    </dxf>
    <dxf>
      <numFmt numFmtId="168" formatCode="#,##0.00\ &quot;€&quot;"/>
    </dxf>
    <dxf>
      <numFmt numFmtId="168" formatCode="#,##0.00\ &quot;€&quot;"/>
    </dxf>
    <dxf>
      <numFmt numFmtId="168" formatCode="#,##0.00\ &quot;€&quot;"/>
    </dxf>
    <dxf>
      <numFmt numFmtId="168" formatCode="#,##0.00\ &quot;€&quot;"/>
    </dxf>
    <dxf>
      <numFmt numFmtId="168" formatCode="#,##0.00\ &quot;€&quot;"/>
    </dxf>
    <dxf>
      <alignment horizontal="center" readingOrder="0"/>
    </dxf>
    <dxf>
      <alignment horizontal="center" readingOrder="0"/>
    </dxf>
    <dxf>
      <alignment horizontal="center" readingOrder="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horizontal="center" readingOrder="0"/>
    </dxf>
    <dxf>
      <numFmt numFmtId="173" formatCode="m/d/yyyy"/>
    </dxf>
    <dxf>
      <numFmt numFmtId="173" formatCode="m/d/yyyy"/>
    </dxf>
    <dxf>
      <alignment horizontal="right"/>
    </dxf>
    <dxf>
      <alignment horizontal="right"/>
    </dxf>
    <dxf>
      <numFmt numFmtId="173" formatCode="m/d/yyyy"/>
    </dxf>
    <dxf>
      <numFmt numFmtId="173" formatCode="m/d/yyyy"/>
    </dxf>
    <dxf>
      <alignment horizontal="right"/>
    </dxf>
    <dxf>
      <numFmt numFmtId="173" formatCode="m/d/yyyy"/>
    </dxf>
    <dxf>
      <numFmt numFmtId="173" formatCode="m/d/yyyy"/>
    </dxf>
    <dxf>
      <numFmt numFmtId="173" formatCode="m/d/yyyy"/>
    </dxf>
    <dxf>
      <alignment horizontal="right"/>
    </dxf>
    <dxf>
      <alignment horizontal="right"/>
    </dxf>
    <dxf>
      <numFmt numFmtId="173" formatCode="m/d/yyyy"/>
    </dxf>
    <dxf>
      <numFmt numFmtId="173" formatCode="m/d/yyyy"/>
    </dxf>
    <dxf>
      <alignment horizontal="right"/>
    </dxf>
    <dxf>
      <numFmt numFmtId="173" formatCode="m/d/yyyy"/>
    </dxf>
    <dxf>
      <numFmt numFmtId="173" formatCode="m/d/yyyy"/>
    </dxf>
    <dxf>
      <alignment horizontal="right"/>
    </dxf>
    <dxf>
      <numFmt numFmtId="173" formatCode="m/d/yyyy"/>
    </dxf>
    <dxf>
      <numFmt numFmtId="173" formatCode="m/d/yyyy"/>
    </dxf>
    <dxf>
      <alignment horizontal="left"/>
    </dxf>
    <dxf>
      <alignment horizontal="left"/>
    </dxf>
    <dxf>
      <numFmt numFmtId="0" formatCode="General"/>
    </dxf>
    <dxf>
      <alignment horizontal="right" readingOrder="0"/>
    </dxf>
    <dxf>
      <alignment horizontal="left" readingOrder="0"/>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numFmt numFmtId="0" formatCode="General"/>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vertical="center" readingOrder="0"/>
    </dxf>
    <dxf>
      <numFmt numFmtId="169" formatCode="_-* #,##0.00\ [$€-40C]_-;\-* #,##0.00\ [$€-40C]_-;_-* &quot;-&quot;??\ [$€-40C]_-;_-@_-"/>
    </dxf>
    <dxf>
      <numFmt numFmtId="169" formatCode="_-* #,##0.00\ [$€-40C]_-;\-* #,##0.00\ [$€-40C]_-;_-* &quot;-&quot;??\ [$€-40C]_-;_-@_-"/>
    </dxf>
    <dxf>
      <numFmt numFmtId="169" formatCode="_-* #,##0.00\ [$€-40C]_-;\-* #,##0.00\ [$€-40C]_-;_-* &quot;-&quot;??\ [$€-40C]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9" defaultPivotStyle="PivotStyleLight16">
    <tableStyle name="Style de tableau croisé dynamique 1" table="0" count="1" xr9:uid="{00000000-0011-0000-FFFF-FFFF00000000}">
      <tableStyleElement type="wholeTable" dxfId="10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externalLinks/externalLink1.xml" Type="http://schemas.openxmlformats.org/officeDocument/2006/relationships/externalLink"/><Relationship Id="rId13" Target="pivotCache/pivotCacheDefinition1.xml" Type="http://schemas.openxmlformats.org/officeDocument/2006/relationships/pivotCacheDefinition"/><Relationship Id="rId14" Target="pivotCache/pivotCacheDefinition2.xml" Type="http://schemas.openxmlformats.org/officeDocument/2006/relationships/pivotCacheDefinition"/><Relationship Id="rId15" Target="theme/theme1.xml" Type="http://schemas.openxmlformats.org/officeDocument/2006/relationships/theme"/><Relationship Id="rId16" Target="styles.xml" Type="http://schemas.openxmlformats.org/officeDocument/2006/relationships/styles"/><Relationship Id="rId17" Target="sharedStrings.xml" Type="http://schemas.openxmlformats.org/officeDocument/2006/relationships/sharedStrings"/><Relationship Id="rId18" Target="calcChain.xml" Type="http://schemas.openxmlformats.org/officeDocument/2006/relationships/calcChain"/><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5.png" Type="http://schemas.openxmlformats.org/officeDocument/2006/relationships/image"/></Relationships>
</file>

<file path=xl/drawings/_rels/drawing3.xml.rels><?xml version="1.0" encoding="UTF-8" standalone="yes"?><Relationships xmlns="http://schemas.openxmlformats.org/package/2006/relationships"><Relationship Id="rId1" Target="../media/image5.png" Type="http://schemas.openxmlformats.org/officeDocument/2006/relationships/image"/></Relationships>
</file>

<file path=xl/drawings/_rels/drawing4.xml.rels><?xml version="1.0" encoding="UTF-8" standalone="yes"?><Relationships xmlns="http://schemas.openxmlformats.org/package/2006/relationships"><Relationship Id="rId1" Target="../media/image5.png" Type="http://schemas.openxmlformats.org/officeDocument/2006/relationships/image"/></Relationships>
</file>

<file path=xl/drawings/_rels/drawing5.xml.rels><?xml version="1.0" encoding="UTF-8" standalone="yes"?><Relationships xmlns="http://schemas.openxmlformats.org/package/2006/relationships"><Relationship Id="rId1" Target="../media/image5.png" Type="http://schemas.openxmlformats.org/officeDocument/2006/relationships/image"/></Relationships>
</file>

<file path=xl/drawings/_rels/vmlDrawing1.v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_rels/vmlDrawing2.vml.rels><?xml version="1.0" encoding="UTF-8" standalone="yes"?><Relationships xmlns="http://schemas.openxmlformats.org/package/2006/relationships"><Relationship Id="rId1" Target="../media/image3.png" Type="http://schemas.openxmlformats.org/officeDocument/2006/relationships/image"/><Relationship Id="rId2" Target="../media/image4.png" Type="http://schemas.openxmlformats.org/officeDocument/2006/relationships/image"/></Relationships>
</file>

<file path=xl/drawings/_rels/vmlDrawing3.vml.rels><?xml version="1.0" encoding="UTF-8" standalone="yes"?><Relationships xmlns="http://schemas.openxmlformats.org/package/2006/relationships"><Relationship Id="rId1" Target="../media/image2.png" Type="http://schemas.openxmlformats.org/officeDocument/2006/relationships/image"/><Relationship Id="rId2" Target="../media/image1.png" Type="http://schemas.openxmlformats.org/officeDocument/2006/relationships/image"/></Relationships>
</file>

<file path=xl/drawings/_rels/vmlDrawing4.vml.rels><?xml version="1.0" encoding="UTF-8" standalone="yes"?><Relationships xmlns="http://schemas.openxmlformats.org/package/2006/relationships"><Relationship Id="rId1" Target="../media/image2.png" Type="http://schemas.openxmlformats.org/officeDocument/2006/relationships/image"/><Relationship Id="rId2" Target="../media/image1.png" Type="http://schemas.openxmlformats.org/officeDocument/2006/relationships/image"/></Relationships>
</file>

<file path=xl/drawings/_rels/vmlDrawing5.vml.rels><?xml version="1.0" encoding="UTF-8" standalone="yes"?><Relationships xmlns="http://schemas.openxmlformats.org/package/2006/relationships"><Relationship Id="rId1" Target="../media/image2.png" Type="http://schemas.openxmlformats.org/officeDocument/2006/relationships/image"/><Relationship Id="rId2"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61</xdr:row>
      <xdr:rowOff>0</xdr:rowOff>
    </xdr:from>
    <xdr:to>
      <xdr:col>1</xdr:col>
      <xdr:colOff>1373392</xdr:colOff>
      <xdr:row>62</xdr:row>
      <xdr:rowOff>186701</xdr:rowOff>
    </xdr:to>
    <xdr:pic>
      <xdr:nvPicPr>
        <xdr:cNvPr id="3" name="Image 2">
          <a:extLst>
            <a:ext uri="{FF2B5EF4-FFF2-40B4-BE49-F238E27FC236}">
              <a16:creationId xmlns:a16="http://schemas.microsoft.com/office/drawing/2014/main" id="{CA632774-701C-47BE-B2C1-1459B46543AB}"/>
            </a:ext>
          </a:extLst>
        </xdr:cNvPr>
        <xdr:cNvPicPr>
          <a:picLocks noChangeAspect="1"/>
        </xdr:cNvPicPr>
      </xdr:nvPicPr>
      <xdr:blipFill>
        <a:blip xmlns:r="http://schemas.openxmlformats.org/officeDocument/2006/relationships" r:embed="rId1"/>
        <a:stretch>
          <a:fillRect/>
        </a:stretch>
      </xdr:blipFill>
      <xdr:spPr>
        <a:xfrm>
          <a:off x="0" y="13967460"/>
          <a:ext cx="2501152" cy="4153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xdr:colOff>
      <xdr:row>1</xdr:row>
      <xdr:rowOff>95250</xdr:rowOff>
    </xdr:from>
    <xdr:to>
      <xdr:col>10</xdr:col>
      <xdr:colOff>733425</xdr:colOff>
      <xdr:row>8</xdr:row>
      <xdr:rowOff>28575</xdr:rowOff>
    </xdr:to>
    <xdr:sp macro="" textlink="">
      <xdr:nvSpPr>
        <xdr:cNvPr id="2" name="ZoneTexte 1">
          <a:extLst>
            <a:ext uri="{FF2B5EF4-FFF2-40B4-BE49-F238E27FC236}">
              <a16:creationId xmlns:a16="http://schemas.microsoft.com/office/drawing/2014/main" id="{00000000-0008-0000-0500-000002000000}"/>
            </a:ext>
          </a:extLst>
        </xdr:cNvPr>
        <xdr:cNvSpPr txBox="1"/>
      </xdr:nvSpPr>
      <xdr:spPr>
        <a:xfrm>
          <a:off x="28575" y="257175"/>
          <a:ext cx="12192000" cy="106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fr-FR" sz="1200" b="0">
              <a:solidFill>
                <a:schemeClr val="dk1"/>
              </a:solidFill>
              <a:latin typeface="Arial" pitchFamily="34" charset="0"/>
              <a:ea typeface="+mn-ea"/>
              <a:cs typeface="Arial" pitchFamily="34" charset="0"/>
            </a:rPr>
            <a:t>Cher Client, </a:t>
          </a:r>
        </a:p>
        <a:p>
          <a:pPr marL="0" marR="0" indent="0" algn="l" defTabSz="914400" eaLnBrk="1" fontAlgn="auto" latinLnBrk="0" hangingPunct="1">
            <a:lnSpc>
              <a:spcPct val="100000"/>
            </a:lnSpc>
            <a:spcBef>
              <a:spcPts val="0"/>
            </a:spcBef>
            <a:spcAft>
              <a:spcPts val="0"/>
            </a:spcAft>
            <a:buClrTx/>
            <a:buSzTx/>
            <a:buFontTx/>
            <a:buNone/>
            <a:tabLst/>
            <a:defRPr/>
          </a:pPr>
          <a:r>
            <a:rPr lang="fr-FR" sz="1200" b="0">
              <a:solidFill>
                <a:schemeClr val="dk1"/>
              </a:solidFill>
              <a:latin typeface="Arial" pitchFamily="34" charset="0"/>
              <a:ea typeface="+mn-ea"/>
              <a:cs typeface="Arial" pitchFamily="34" charset="0"/>
            </a:rPr>
            <a:t>Les informations saisies dans nos outils métier</a:t>
          </a:r>
          <a:r>
            <a:rPr lang="fr-FR" sz="1200" b="0" baseline="0">
              <a:solidFill>
                <a:schemeClr val="dk1"/>
              </a:solidFill>
              <a:latin typeface="Arial" pitchFamily="34" charset="0"/>
              <a:ea typeface="+mn-ea"/>
              <a:cs typeface="Arial" pitchFamily="34" charset="0"/>
            </a:rPr>
            <a:t>s rafraichieront ce fichier à chaque ouverture.</a:t>
          </a:r>
          <a:r>
            <a:rPr lang="fr-FR" sz="1200" b="0">
              <a:solidFill>
                <a:schemeClr val="dk1"/>
              </a:solidFill>
              <a:latin typeface="Arial" pitchFamily="34" charset="0"/>
              <a:ea typeface="+mn-ea"/>
              <a:cs typeface="Arial" pitchFamily="34" charset="0"/>
            </a:rPr>
            <a:t> En revanche tout ce que vous saisirez sur ce fichier sera perdu et nous n’en prendrons pas connaissance.  Ne saisissez rien sur ce fichier, ne le modifiez pas ne l'effacez pas.</a:t>
          </a:r>
          <a:r>
            <a:rPr lang="fr-FR" sz="1200" b="0" baseline="0">
              <a:solidFill>
                <a:schemeClr val="dk1"/>
              </a:solidFill>
              <a:latin typeface="Arial" pitchFamily="34" charset="0"/>
              <a:ea typeface="+mn-ea"/>
              <a:cs typeface="Arial" pitchFamily="34" charset="0"/>
            </a:rPr>
            <a:t> Vous pouvez copier et coller son contenu dans un autre fichier excel pour faire des tris et des calculs.</a:t>
          </a:r>
          <a:r>
            <a:rPr lang="fr-FR" sz="1200" b="0">
              <a:solidFill>
                <a:schemeClr val="dk1"/>
              </a:solidFill>
              <a:latin typeface="Arial" pitchFamily="34" charset="0"/>
              <a:ea typeface="+mn-ea"/>
              <a:cs typeface="Arial" pitchFamily="34" charset="0"/>
            </a:rPr>
            <a:t> Signalez nous les règlements reçus chez vous par mail à l’adresse : </a:t>
          </a:r>
          <a:r>
            <a:rPr lang="fr-FR" sz="1200" b="0" u="sng">
              <a:solidFill>
                <a:schemeClr val="dk1"/>
              </a:solidFill>
              <a:latin typeface="Arial" pitchFamily="34" charset="0"/>
              <a:ea typeface="+mn-ea"/>
              <a:cs typeface="Arial" pitchFamily="34" charset="0"/>
              <a:hlinkClick xmlns:r="http://schemas.openxmlformats.org/officeDocument/2006/relationships" r:id=""/>
            </a:rPr>
            <a:t>contact@cabinetphenix.fr</a:t>
          </a:r>
          <a:r>
            <a:rPr lang="fr-FR" sz="1200" b="0">
              <a:solidFill>
                <a:schemeClr val="dk1"/>
              </a:solidFill>
              <a:latin typeface="Arial" pitchFamily="34" charset="0"/>
              <a:ea typeface="+mn-ea"/>
              <a:cs typeface="Arial" pitchFamily="34" charset="0"/>
            </a:rPr>
            <a:t>. </a:t>
          </a:r>
          <a:r>
            <a:rPr lang="fr-FR" sz="1200" b="0" baseline="0">
              <a:solidFill>
                <a:schemeClr val="dk1"/>
              </a:solidFill>
              <a:latin typeface="Arial" pitchFamily="34" charset="0"/>
              <a:ea typeface="+mn-ea"/>
              <a:cs typeface="Arial" pitchFamily="34" charset="0"/>
            </a:rPr>
            <a:t> Si vous souhaitez avoir plus d'informations sur un dossier, nous restons à votre disposition. </a:t>
          </a:r>
          <a:r>
            <a:rPr lang="fr-FR" sz="1200" b="0">
              <a:solidFill>
                <a:schemeClr val="dk1"/>
              </a:solidFill>
              <a:latin typeface="Arial" pitchFamily="34" charset="0"/>
              <a:ea typeface="+mn-ea"/>
              <a:cs typeface="Arial" pitchFamily="34" charset="0"/>
            </a:rPr>
            <a:t>Merci.</a:t>
          </a:r>
        </a:p>
        <a:p>
          <a:pPr marL="0" marR="0" indent="0" algn="l" defTabSz="914400" eaLnBrk="1" fontAlgn="auto" latinLnBrk="0" hangingPunct="1">
            <a:lnSpc>
              <a:spcPct val="100000"/>
            </a:lnSpc>
            <a:spcBef>
              <a:spcPts val="0"/>
            </a:spcBef>
            <a:spcAft>
              <a:spcPts val="0"/>
            </a:spcAft>
            <a:buClrTx/>
            <a:buSzTx/>
            <a:buFontTx/>
            <a:buNone/>
            <a:tabLst/>
            <a:defRPr/>
          </a:pPr>
          <a:endParaRPr lang="fr-FR" sz="1200" b="1">
            <a:solidFill>
              <a:schemeClr val="dk1"/>
            </a:solidFill>
            <a:latin typeface="Arial" pitchFamily="34" charset="0"/>
            <a:ea typeface="+mn-ea"/>
            <a:cs typeface="Arial" pitchFamily="34" charset="0"/>
          </a:endParaRPr>
        </a:p>
        <a:p>
          <a:endParaRPr lang="fr-FR"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56</xdr:row>
      <xdr:rowOff>233081</xdr:rowOff>
    </xdr:from>
    <xdr:to>
      <xdr:col>1</xdr:col>
      <xdr:colOff>1371599</xdr:colOff>
      <xdr:row>58</xdr:row>
      <xdr:rowOff>174597</xdr:rowOff>
    </xdr:to>
    <xdr:pic>
      <xdr:nvPicPr>
        <xdr:cNvPr id="4" name="Image 3">
          <a:extLst>
            <a:ext uri="{FF2B5EF4-FFF2-40B4-BE49-F238E27FC236}">
              <a16:creationId xmlns:a16="http://schemas.microsoft.com/office/drawing/2014/main" id="{BC9561F6-E2BA-455D-9AD3-4173987DA436}"/>
            </a:ext>
          </a:extLst>
        </xdr:cNvPr>
        <xdr:cNvPicPr>
          <a:picLocks noChangeAspect="1"/>
        </xdr:cNvPicPr>
      </xdr:nvPicPr>
      <xdr:blipFill>
        <a:blip xmlns:r="http://schemas.openxmlformats.org/officeDocument/2006/relationships" r:embed="rId1"/>
        <a:stretch>
          <a:fillRect/>
        </a:stretch>
      </xdr:blipFill>
      <xdr:spPr>
        <a:xfrm>
          <a:off x="0" y="14101481"/>
          <a:ext cx="2501152" cy="40768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54</xdr:row>
      <xdr:rowOff>0</xdr:rowOff>
    </xdr:from>
    <xdr:to>
      <xdr:col>1</xdr:col>
      <xdr:colOff>1371599</xdr:colOff>
      <xdr:row>55</xdr:row>
      <xdr:rowOff>182218</xdr:rowOff>
    </xdr:to>
    <xdr:pic>
      <xdr:nvPicPr>
        <xdr:cNvPr id="4" name="Image 3">
          <a:extLst>
            <a:ext uri="{FF2B5EF4-FFF2-40B4-BE49-F238E27FC236}">
              <a16:creationId xmlns:a16="http://schemas.microsoft.com/office/drawing/2014/main" id="{4D98029F-9819-4CAD-B3ED-A3C555A240D2}"/>
            </a:ext>
          </a:extLst>
        </xdr:cNvPr>
        <xdr:cNvPicPr>
          <a:picLocks noChangeAspect="1"/>
        </xdr:cNvPicPr>
      </xdr:nvPicPr>
      <xdr:blipFill>
        <a:blip xmlns:r="http://schemas.openxmlformats.org/officeDocument/2006/relationships" r:embed="rId1"/>
        <a:stretch>
          <a:fillRect/>
        </a:stretch>
      </xdr:blipFill>
      <xdr:spPr>
        <a:xfrm>
          <a:off x="0" y="13464988"/>
          <a:ext cx="2501152" cy="41530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56</xdr:row>
      <xdr:rowOff>0</xdr:rowOff>
    </xdr:from>
    <xdr:to>
      <xdr:col>1</xdr:col>
      <xdr:colOff>1371599</xdr:colOff>
      <xdr:row>57</xdr:row>
      <xdr:rowOff>182218</xdr:rowOff>
    </xdr:to>
    <xdr:pic>
      <xdr:nvPicPr>
        <xdr:cNvPr id="3" name="Image 2">
          <a:extLst>
            <a:ext uri="{FF2B5EF4-FFF2-40B4-BE49-F238E27FC236}">
              <a16:creationId xmlns:a16="http://schemas.microsoft.com/office/drawing/2014/main" id="{1F7601B1-B913-401F-8328-4A5DFEE05296}"/>
            </a:ext>
          </a:extLst>
        </xdr:cNvPr>
        <xdr:cNvPicPr>
          <a:picLocks noChangeAspect="1"/>
        </xdr:cNvPicPr>
      </xdr:nvPicPr>
      <xdr:blipFill>
        <a:blip xmlns:r="http://schemas.openxmlformats.org/officeDocument/2006/relationships" r:embed="rId1"/>
        <a:stretch>
          <a:fillRect/>
        </a:stretch>
      </xdr:blipFill>
      <xdr:spPr>
        <a:xfrm>
          <a:off x="0" y="13769788"/>
          <a:ext cx="2501152" cy="415301"/>
        </a:xfrm>
        <a:prstGeom prst="rect">
          <a:avLst/>
        </a:prstGeom>
      </xdr:spPr>
    </xdr:pic>
    <xdr:clientData/>
  </xdr:twoCellAnchor>
</xdr:wsDr>
</file>

<file path=xl/externalLinks/_rels/externalLink1.xml.rels><?xml version="1.0" encoding="UTF-8" standalone="yes"?><Relationships xmlns="http://schemas.openxmlformats.org/package/2006/relationships"><Relationship Id="rId1" Target="file:///F:/Dropbox/Projet%201/CLIENTS/Matrice.xlsx" TargetMode="External" Type="http://schemas.openxmlformats.org/officeDocument/2006/relationships/externalLinkPath"/></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ure de vente"/>
      <sheetName val="Facture de procedure"/>
      <sheetName val="CI"/>
    </sheetNames>
    <sheetDataSet>
      <sheetData sheetId="0">
        <row r="24">
          <cell r="H24" t="str">
            <v>Lettres de relances</v>
          </cell>
          <cell r="I24">
            <v>1</v>
          </cell>
          <cell r="J24">
            <v>1</v>
          </cell>
        </row>
        <row r="25">
          <cell r="H25" t="str">
            <v>Prises en charge de dossier</v>
          </cell>
          <cell r="I25">
            <v>3</v>
          </cell>
          <cell r="J25">
            <v>2</v>
          </cell>
        </row>
        <row r="26">
          <cell r="H26" t="str">
            <v>Rédaction de CGV</v>
          </cell>
          <cell r="I26">
            <v>5</v>
          </cell>
          <cell r="J26">
            <v>3</v>
          </cell>
        </row>
        <row r="27">
          <cell r="H27" t="str">
            <v>Journée de conseil</v>
          </cell>
          <cell r="I27">
            <v>10</v>
          </cell>
          <cell r="J27">
            <v>4</v>
          </cell>
        </row>
        <row r="28">
          <cell r="H28" t="str">
            <v>Siretisation</v>
          </cell>
          <cell r="I28">
            <v>15</v>
          </cell>
          <cell r="J28">
            <v>5</v>
          </cell>
        </row>
        <row r="29">
          <cell r="I29">
            <v>20</v>
          </cell>
          <cell r="J29">
            <v>6</v>
          </cell>
        </row>
        <row r="30">
          <cell r="I30">
            <v>30</v>
          </cell>
          <cell r="J30">
            <v>7</v>
          </cell>
        </row>
        <row r="31">
          <cell r="I31">
            <v>60</v>
          </cell>
          <cell r="J31">
            <v>8</v>
          </cell>
        </row>
        <row r="32">
          <cell r="I32">
            <v>100</v>
          </cell>
          <cell r="J32">
            <v>9</v>
          </cell>
        </row>
        <row r="33">
          <cell r="I33">
            <v>120</v>
          </cell>
          <cell r="J33">
            <v>10</v>
          </cell>
        </row>
        <row r="34">
          <cell r="I34">
            <v>200</v>
          </cell>
          <cell r="J34">
            <v>12</v>
          </cell>
        </row>
        <row r="35">
          <cell r="I35">
            <v>250</v>
          </cell>
          <cell r="J35">
            <v>14</v>
          </cell>
        </row>
        <row r="36">
          <cell r="I36">
            <v>500</v>
          </cell>
          <cell r="J36">
            <v>15</v>
          </cell>
        </row>
        <row r="37">
          <cell r="I37">
            <v>1000</v>
          </cell>
          <cell r="J37">
            <v>16</v>
          </cell>
        </row>
        <row r="38">
          <cell r="I38">
            <v>2500</v>
          </cell>
          <cell r="J38">
            <v>17</v>
          </cell>
        </row>
        <row r="39">
          <cell r="I39">
            <v>5000</v>
          </cell>
          <cell r="J39">
            <v>18</v>
          </cell>
        </row>
        <row r="40">
          <cell r="J40">
            <v>21</v>
          </cell>
        </row>
        <row r="41">
          <cell r="J41">
            <v>25</v>
          </cell>
        </row>
        <row r="42">
          <cell r="J42">
            <v>28</v>
          </cell>
        </row>
        <row r="43">
          <cell r="J43">
            <v>35</v>
          </cell>
        </row>
        <row r="44">
          <cell r="J44">
            <v>39</v>
          </cell>
        </row>
        <row r="45">
          <cell r="J45">
            <v>75</v>
          </cell>
        </row>
        <row r="46">
          <cell r="J46">
            <v>250</v>
          </cell>
        </row>
        <row r="47">
          <cell r="J47">
            <v>300</v>
          </cell>
        </row>
        <row r="48">
          <cell r="J48">
            <v>350</v>
          </cell>
        </row>
        <row r="49">
          <cell r="J49">
            <v>400</v>
          </cell>
        </row>
        <row r="50">
          <cell r="J50">
            <v>500</v>
          </cell>
        </row>
        <row r="51">
          <cell r="J51">
            <v>700</v>
          </cell>
        </row>
        <row r="52">
          <cell r="J52">
            <v>800</v>
          </cell>
        </row>
        <row r="53">
          <cell r="J53">
            <v>1200</v>
          </cell>
        </row>
        <row r="54">
          <cell r="J54">
            <v>1500</v>
          </cell>
        </row>
        <row r="55">
          <cell r="J55">
            <v>1900</v>
          </cell>
        </row>
        <row r="56">
          <cell r="J56">
            <v>2000</v>
          </cell>
        </row>
      </sheetData>
      <sheetData sheetId="1"/>
      <sheetData sheetId="2"/>
    </sheetDataSet>
  </externalBook>
</externalLink>
</file>

<file path=xl/pivotCache/_rels/pivotCacheDefinition1.xml.rels><?xml version="1.0" encoding="UTF-8" standalone="yes"?><Relationships xmlns="http://schemas.openxmlformats.org/package/2006/relationships"><Relationship Id="rId1" Target="pivotCacheRecords1.xml" Type="http://schemas.openxmlformats.org/officeDocument/2006/relationships/pivotCacheRecords"/></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thier Beris" refreshedDate="40729.72514652778" createdVersion="3" refreshedVersion="4" minRefreshableVersion="3" recordCount="57" xr:uid="{00000000-000A-0000-FFFF-FFFF00000000}">
  <cacheSource type="worksheet">
    <worksheetSource ref="A16:U1000" sheet="Créances"/>
  </cacheSource>
  <cacheFields count="21">
    <cacheField name="NBRE" numFmtId="0">
      <sharedItems containsString="0" containsBlank="1" containsNumber="1" containsInteger="1" minValue="0" maxValue="7" count="9">
        <n v="1"/>
        <m/>
        <n v="0" u="1"/>
        <n v="6" u="1"/>
        <n v="3" u="1"/>
        <n v="7" u="1"/>
        <n v="4" u="1"/>
        <n v="2" u="1"/>
        <n v="5" u="1"/>
      </sharedItems>
    </cacheField>
    <cacheField name="V/REF" numFmtId="0">
      <sharedItems containsBlank="1" containsMixedTypes="1" containsNumber="1" containsInteger="1" minValue="319" maxValue="14991" count="6">
        <s v="C0301"/>
        <m/>
        <s v=" "/>
        <n v="14991" u="1"/>
        <n v="8550" u="1"/>
        <n v="319" u="1"/>
      </sharedItems>
    </cacheField>
    <cacheField name="REMIS LE" numFmtId="0">
      <sharedItems containsNonDate="0" containsDate="1" containsString="0" containsBlank="1" minDate="2010-09-09T00:00:00" maxDate="2011-05-18T00:00:00" count="6">
        <d v="2011-05-17T00:00:00"/>
        <m/>
        <d v="2011-03-15T00:00:00" u="1"/>
        <d v="2010-09-09T00:00:00" u="1"/>
        <d v="2010-09-22T00:00:00" u="1"/>
        <d v="2010-10-20T00:00:00" u="1"/>
      </sharedItems>
    </cacheField>
    <cacheField name="ANCIENNETE" numFmtId="0">
      <sharedItems containsString="0" containsBlank="1" containsNumber="1" containsInteger="1" minValue="0" maxValue="8" count="7">
        <n v="7"/>
        <m/>
        <n v="0" u="1"/>
        <n v="3" u="1"/>
        <n v="8" u="1"/>
        <n v="4" u="1"/>
        <n v="5" u="1"/>
      </sharedItems>
    </cacheField>
    <cacheField name="N/REF" numFmtId="0">
      <sharedItems containsBlank="1" containsMixedTypes="1" containsNumber="1" containsInteger="1" minValue="0" maxValue="0" count="3">
        <s v="940058/000128"/>
        <m/>
        <n v="0"/>
      </sharedItems>
    </cacheField>
    <cacheField name="DEBITEUR" numFmtId="0">
      <sharedItems containsBlank="1" containsMixedTypes="1" containsNumber="1" containsInteger="1" minValue="0" maxValue="0" count="3">
        <s v="CREATION NATURE"/>
        <m/>
        <n v="0"/>
      </sharedItems>
    </cacheField>
    <cacheField name="CREANCE PRINCIPALE " numFmtId="0">
      <sharedItems containsString="0" containsBlank="1" containsNumber="1" minValue="0" maxValue="108676.58" count="20">
        <n v="29599.97"/>
        <m/>
        <n v="0" u="1"/>
        <n v="11588.8" u="1"/>
        <n v="10014.049999999999" u="1"/>
        <n v="11326.09" u="1"/>
        <n v="13814.74" u="1"/>
        <n v="1847.83" u="1"/>
        <n v="22345" u="1"/>
        <n v="5187.67" u="1"/>
        <n v="7117.45" u="1"/>
        <n v="108676.58" u="1"/>
        <n v="1509.62" u="1"/>
        <n v="1853.66" u="1"/>
        <n v="816.39" u="1"/>
        <n v="847.33" u="1"/>
        <n v="50738.42" u="1"/>
        <n v="74.680000000000007" u="1"/>
        <n v="3788.93" u="1"/>
        <n v="931.65" u="1"/>
      </sharedItems>
    </cacheField>
    <cacheField name="RECOUVRE ET FACTURE" numFmtId="0">
      <sharedItems containsString="0" containsBlank="1" containsNumber="1" minValue="0" maxValue="4014.09"/>
    </cacheField>
    <cacheField name="ETAT" numFmtId="0">
      <sharedItems containsBlank="1" containsMixedTypes="1" containsNumber="1" containsInteger="1" minValue="0" maxValue="0" count="3">
        <s v="Gestion en cours"/>
        <m/>
        <n v="0"/>
      </sharedItems>
    </cacheField>
    <cacheField name="CLOTURE" numFmtId="0">
      <sharedItems containsString="0" containsBlank="1" containsNumber="1" containsInteger="1" minValue="0" maxValue="0" count="2">
        <m/>
        <n v="0"/>
      </sharedItems>
    </cacheField>
    <cacheField name="PENALITES" numFmtId="0">
      <sharedItems containsString="0" containsBlank="1" containsNumber="1" minValue="0" maxValue="2071.9979000000003"/>
    </cacheField>
    <cacheField name="Extratction du départements de la colonne E" numFmtId="0">
      <sharedItems containsBlank="1" containsMixedTypes="1" containsNumber="1" containsInteger="1" minValue="0" maxValue="0"/>
    </cacheField>
    <cacheField name="Transformation de la colonne L en nombre" numFmtId="0">
      <sharedItems containsBlank="1" containsMixedTypes="1" containsNumber="1" containsInteger="1" minValue="28" maxValue="28"/>
    </cacheField>
    <cacheField name="CONDITION de calcul de formule 2 :France ou 1 :Export" numFmtId="0">
      <sharedItems containsBlank="1" containsMixedTypes="1" containsNumber="1" containsInteger="1" minValue="2" maxValue="2"/>
    </cacheField>
    <cacheField name="DONT EN ATTENTE DE FACTURATION" numFmtId="0">
      <sharedItems containsString="0" containsBlank="1" containsNumber="1" minValue="0" maxValue="12000" count="4">
        <n v="4014.09"/>
        <n v="0"/>
        <m/>
        <n v="12000" u="1"/>
      </sharedItems>
    </cacheField>
    <cacheField name="Lieu" numFmtId="0">
      <sharedItems containsBlank="1" containsMixedTypes="1" containsNumber="1" containsInteger="1" minValue="0" maxValue="0"/>
    </cacheField>
    <cacheField name="Frais de procédure" numFmtId="165">
      <sharedItems containsString="0" containsBlank="1" containsNumber="1" containsInteger="1" minValue="0" maxValue="0"/>
    </cacheField>
    <cacheField name="Recouvré total" numFmtId="169">
      <sharedItems containsString="0" containsBlank="1" containsNumber="1" minValue="0" maxValue="12000" count="7">
        <n v="8028.18"/>
        <n v="0"/>
        <m/>
        <n v="100" u="1"/>
        <n v="500" u="1"/>
        <n v="12000" u="1"/>
        <n v="1100" u="1"/>
      </sharedItems>
    </cacheField>
    <cacheField name="Déjà facturé" numFmtId="169">
      <sharedItems containsBlank="1" containsMixedTypes="1" containsNumber="1" minValue="601.40899999999999" maxValue="601.40899999999999"/>
    </cacheField>
    <cacheField name="Total dépuis le début" numFmtId="169">
      <sharedItems containsBlank="1" containsMixedTypes="1" containsNumber="1" minValue="1002.818" maxValue="1002.818"/>
    </cacheField>
    <cacheField name="Commissions" numFmtId="169">
      <sharedItems containsBlank="1" containsMixedTypes="1" containsNumber="1" minValue="401.40899999999999" maxValue="401.4089999999999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uthier beris" refreshedDate="46127.44611759259" createdVersion="4" refreshedVersion="8" minRefreshableVersion="3" recordCount="57" xr:uid="{00000000-000A-0000-FFFF-FFFF01000000}">
  <cacheSource type="worksheet">
    <worksheetSource ref="A16:X1000" sheet="Créances"/>
  </cacheSource>
  <cacheFields count="24">
    <cacheField name="NBRE" numFmtId="0">
      <sharedItems containsString="0" containsBlank="1" containsNumber="1" containsInteger="1" minValue="1" maxValue="1"/>
    </cacheField>
    <cacheField name="V/REF" numFmtId="0">
      <sharedItems containsBlank="1" containsMixedTypes="1" containsNumber="1" containsInteger="1" minValue="1" maxValue="1" count="3">
        <n v="1"/>
        <m/>
        <s v=" "/>
      </sharedItems>
    </cacheField>
    <cacheField name="REMIS LE" numFmtId="0">
      <sharedItems containsNonDate="0" containsDate="1" containsString="0" containsBlank="1" minDate="2025-03-20T00:00:00" maxDate="2025-03-21T00:00:00"/>
    </cacheField>
    <cacheField name="ANCIENNETE" numFmtId="0">
      <sharedItems containsString="0" containsBlank="1" containsNumber="1" containsInteger="1" minValue="5" maxValue="5"/>
    </cacheField>
    <cacheField name="NOMBRE DE FACTURES" numFmtId="0">
      <sharedItems containsString="0" containsBlank="1" containsNumber="1" containsInteger="1" minValue="9" maxValue="9"/>
    </cacheField>
    <cacheField name="N/REF" numFmtId="0">
      <sharedItems containsString="0" containsBlank="1" containsNumber="1" containsInteger="1" minValue="0" maxValue="20250336" count="3">
        <n v="20250336"/>
        <m/>
        <n v="0" u="1"/>
      </sharedItems>
    </cacheField>
    <cacheField name="DEBITEUR" numFmtId="0">
      <sharedItems containsBlank="1" containsMixedTypes="1" containsNumber="1" containsInteger="1" minValue="0" maxValue="0" count="3">
        <s v="ALFA FOOD FACTORY"/>
        <m/>
        <n v="0"/>
      </sharedItems>
    </cacheField>
    <cacheField name="CREANCE PRINCIPALE " numFmtId="0">
      <sharedItems containsString="0" containsBlank="1" containsNumber="1" minValue="69081.02" maxValue="69081.02"/>
    </cacheField>
    <cacheField name="RECOUVRE ET FACTURE" numFmtId="0">
      <sharedItems containsString="0" containsBlank="1" containsNumber="1" containsInteger="1" minValue="0" maxValue="62000"/>
    </cacheField>
    <cacheField name="ETAT" numFmtId="0">
      <sharedItems containsBlank="1" containsMixedTypes="1" containsNumber="1" containsInteger="1" minValue="0" maxValue="0"/>
    </cacheField>
    <cacheField name="CLOTURE" numFmtId="0">
      <sharedItems containsBlank="1" containsMixedTypes="1" containsNumber="1" containsInteger="1" minValue="0" maxValue="0"/>
    </cacheField>
    <cacheField name="PENALITES" numFmtId="0">
      <sharedItems containsString="0" containsBlank="1" containsNumber="1" minValue="0" maxValue="4317.5637500000003"/>
    </cacheField>
    <cacheField name="INDEMNITES" numFmtId="0">
      <sharedItems containsString="0" containsBlank="1" containsNumber="1" containsInteger="1" minValue="0" maxValue="360"/>
    </cacheField>
    <cacheField name="TOTAUX PENALITES" numFmtId="0">
      <sharedItems containsString="0" containsBlank="1" containsNumber="1" minValue="0" maxValue="4677.5637500000003"/>
    </cacheField>
    <cacheField name="Extratction du départements de la colonne E" numFmtId="0">
      <sharedItems containsBlank="1" containsMixedTypes="1" containsNumber="1" containsInteger="1" minValue="0" maxValue="0"/>
    </cacheField>
    <cacheField name="Transformation de la colonne L en nombre" numFmtId="0">
      <sharedItems containsBlank="1" containsMixedTypes="1" containsNumber="1" containsInteger="1" minValue="36" maxValue="36"/>
    </cacheField>
    <cacheField name="CONDITION de calcul de formule 2 :France ou 1 :Export" numFmtId="0">
      <sharedItems containsBlank="1" containsMixedTypes="1" containsNumber="1" containsInteger="1" minValue="2" maxValue="2"/>
    </cacheField>
    <cacheField name="DONT EN ATTENTE DE FACTURATION" numFmtId="0">
      <sharedItems containsString="0" containsBlank="1" containsNumber="1" containsInteger="1" minValue="0" maxValue="7000" count="5">
        <n v="7000"/>
        <n v="0"/>
        <m/>
        <n v="3000" u="1"/>
        <n v="6000" u="1"/>
      </sharedItems>
    </cacheField>
    <cacheField name="Lieu" numFmtId="0">
      <sharedItems containsBlank="1" containsMixedTypes="1" containsNumber="1" containsInteger="1" minValue="0" maxValue="0" count="3">
        <s v="AG"/>
        <m/>
        <n v="0" u="1"/>
      </sharedItems>
    </cacheField>
    <cacheField name="Frais de procédure" numFmtId="0">
      <sharedItems containsString="0" containsBlank="1" containsNumber="1" containsInteger="1" minValue="0" maxValue="180" count="3">
        <n v="0"/>
        <m/>
        <n v="180" u="1"/>
      </sharedItems>
    </cacheField>
    <cacheField name="Recouvré total" numFmtId="169">
      <sharedItems containsString="0" containsBlank="1" containsNumber="1" containsInteger="1" minValue="0" maxValue="69000"/>
    </cacheField>
    <cacheField name="Déjà facturé" numFmtId="0">
      <sharedItems containsBlank="1" containsMixedTypes="1" containsNumber="1" containsInteger="1" minValue="4420" maxValue="4420"/>
    </cacheField>
    <cacheField name="Total dépuis le début" numFmtId="0">
      <sharedItems containsBlank="1" containsMixedTypes="1" containsNumber="1" containsInteger="1" minValue="4840" maxValue="4840"/>
    </cacheField>
    <cacheField name="Commissions" numFmtId="0">
      <sharedItems containsBlank="1" containsMixedTypes="1" containsNumber="1" containsInteger="1" minValue="0" maxValue="540" count="8">
        <n v="420"/>
        <e v="#VALUE!"/>
        <m/>
        <n v="480" u="1"/>
        <n v="240" u="1"/>
        <n v="520" u="1"/>
        <n v="540" u="1"/>
        <n v="0"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7">
  <r>
    <x v="0"/>
    <x v="0"/>
    <x v="0"/>
    <x v="0"/>
    <x v="0"/>
    <x v="0"/>
    <x v="0"/>
    <n v="4014.09"/>
    <x v="0"/>
    <x v="0"/>
    <n v="2071.9979000000003"/>
    <s v="28"/>
    <n v="28"/>
    <n v="2"/>
    <x v="0"/>
    <s v="AG"/>
    <n v="0"/>
    <x v="0"/>
    <n v="601.40899999999999"/>
    <n v="1002.818"/>
    <n v="401.40899999999999"/>
  </r>
  <r>
    <x v="1"/>
    <x v="1"/>
    <x v="1"/>
    <x v="1"/>
    <x v="1"/>
    <x v="1"/>
    <x v="1"/>
    <n v="0"/>
    <x v="1"/>
    <x v="0"/>
    <n v="0"/>
    <s v=""/>
    <e v="#VALUE!"/>
    <e v="#VALUE!"/>
    <x v="1"/>
    <m/>
    <n v="0"/>
    <x v="1"/>
    <e v="#VALUE!"/>
    <e v="#VALUE!"/>
    <e v="#VALUE!"/>
  </r>
  <r>
    <x v="1"/>
    <x v="1"/>
    <x v="1"/>
    <x v="1"/>
    <x v="1"/>
    <x v="1"/>
    <x v="1"/>
    <n v="0"/>
    <x v="1"/>
    <x v="0"/>
    <n v="0"/>
    <s v=""/>
    <e v="#VALUE!"/>
    <e v="#VALUE!"/>
    <x v="1"/>
    <m/>
    <n v="0"/>
    <x v="1"/>
    <e v="#VALUE!"/>
    <e v="#VALUE!"/>
    <e v="#VALUE!"/>
  </r>
  <r>
    <x v="1"/>
    <x v="1"/>
    <x v="1"/>
    <x v="1"/>
    <x v="1"/>
    <x v="1"/>
    <x v="1"/>
    <n v="0"/>
    <x v="1"/>
    <x v="0"/>
    <n v="0"/>
    <s v=""/>
    <e v="#VALUE!"/>
    <e v="#VALUE!"/>
    <x v="1"/>
    <m/>
    <n v="0"/>
    <x v="1"/>
    <e v="#VALUE!"/>
    <e v="#VALUE!"/>
    <e v="#VALUE!"/>
  </r>
  <r>
    <x v="1"/>
    <x v="1"/>
    <x v="1"/>
    <x v="1"/>
    <x v="1"/>
    <x v="1"/>
    <x v="1"/>
    <n v="0"/>
    <x v="1"/>
    <x v="0"/>
    <n v="0"/>
    <s v=""/>
    <e v="#VALUE!"/>
    <e v="#VALUE!"/>
    <x v="1"/>
    <m/>
    <n v="0"/>
    <x v="1"/>
    <e v="#VALUE!"/>
    <e v="#VALUE!"/>
    <e v="#VALUE!"/>
  </r>
  <r>
    <x v="1"/>
    <x v="2"/>
    <x v="1"/>
    <x v="1"/>
    <x v="1"/>
    <x v="1"/>
    <x v="1"/>
    <n v="0"/>
    <x v="1"/>
    <x v="0"/>
    <n v="0"/>
    <s v=""/>
    <e v="#VALUE!"/>
    <e v="#VALUE!"/>
    <x v="1"/>
    <m/>
    <n v="0"/>
    <x v="1"/>
    <e v="#VALUE!"/>
    <e v="#VALUE!"/>
    <e v="#VALUE!"/>
  </r>
  <r>
    <x v="1"/>
    <x v="2"/>
    <x v="1"/>
    <x v="1"/>
    <x v="1"/>
    <x v="1"/>
    <x v="1"/>
    <n v="0"/>
    <x v="1"/>
    <x v="0"/>
    <n v="0"/>
    <s v=""/>
    <e v="#VALUE!"/>
    <e v="#VALUE!"/>
    <x v="1"/>
    <m/>
    <n v="0"/>
    <x v="1"/>
    <e v="#VALUE!"/>
    <e v="#VALUE!"/>
    <e v="#VALUE!"/>
  </r>
  <r>
    <x v="1"/>
    <x v="2"/>
    <x v="1"/>
    <x v="1"/>
    <x v="1"/>
    <x v="1"/>
    <x v="1"/>
    <n v="0"/>
    <x v="1"/>
    <x v="0"/>
    <n v="0"/>
    <s v=""/>
    <e v="#VALUE!"/>
    <e v="#VALUE!"/>
    <x v="1"/>
    <m/>
    <n v="0"/>
    <x v="1"/>
    <e v="#VALUE!"/>
    <e v="#VALUE!"/>
    <e v="#VALUE!"/>
  </r>
  <r>
    <x v="1"/>
    <x v="2"/>
    <x v="1"/>
    <x v="1"/>
    <x v="1"/>
    <x v="1"/>
    <x v="1"/>
    <n v="0"/>
    <x v="1"/>
    <x v="0"/>
    <n v="0"/>
    <s v=""/>
    <e v="#VALUE!"/>
    <e v="#VALUE!"/>
    <x v="1"/>
    <m/>
    <n v="0"/>
    <x v="1"/>
    <e v="#VALUE!"/>
    <e v="#VALUE!"/>
    <e v="#VALUE!"/>
  </r>
  <r>
    <x v="1"/>
    <x v="2"/>
    <x v="1"/>
    <x v="1"/>
    <x v="1"/>
    <x v="1"/>
    <x v="1"/>
    <n v="0"/>
    <x v="1"/>
    <x v="0"/>
    <n v="0"/>
    <s v=""/>
    <e v="#VALUE!"/>
    <e v="#VALUE!"/>
    <x v="1"/>
    <m/>
    <n v="0"/>
    <x v="1"/>
    <e v="#VALUE!"/>
    <e v="#VALUE!"/>
    <e v="#VALUE!"/>
  </r>
  <r>
    <x v="1"/>
    <x v="2"/>
    <x v="1"/>
    <x v="1"/>
    <x v="1"/>
    <x v="1"/>
    <x v="1"/>
    <n v="0"/>
    <x v="1"/>
    <x v="0"/>
    <n v="0"/>
    <s v=""/>
    <e v="#VALUE!"/>
    <e v="#VALUE!"/>
    <x v="1"/>
    <m/>
    <n v="0"/>
    <x v="1"/>
    <e v="#VALUE!"/>
    <e v="#VALUE!"/>
    <e v="#VALUE!"/>
  </r>
  <r>
    <x v="1"/>
    <x v="2"/>
    <x v="1"/>
    <x v="1"/>
    <x v="1"/>
    <x v="1"/>
    <x v="1"/>
    <n v="0"/>
    <x v="1"/>
    <x v="0"/>
    <n v="0"/>
    <s v=""/>
    <e v="#VALUE!"/>
    <e v="#VALUE!"/>
    <x v="1"/>
    <m/>
    <n v="0"/>
    <x v="1"/>
    <e v="#VALUE!"/>
    <e v="#VALUE!"/>
    <e v="#VALUE!"/>
  </r>
  <r>
    <x v="1"/>
    <x v="2"/>
    <x v="1"/>
    <x v="1"/>
    <x v="1"/>
    <x v="1"/>
    <x v="1"/>
    <n v="0"/>
    <x v="1"/>
    <x v="0"/>
    <n v="0"/>
    <s v=""/>
    <e v="#VALUE!"/>
    <e v="#VALUE!"/>
    <x v="1"/>
    <m/>
    <n v="0"/>
    <x v="1"/>
    <e v="#VALUE!"/>
    <e v="#VALUE!"/>
    <e v="#VALUE!"/>
  </r>
  <r>
    <x v="1"/>
    <x v="2"/>
    <x v="1"/>
    <x v="1"/>
    <x v="1"/>
    <x v="1"/>
    <x v="1"/>
    <n v="0"/>
    <x v="1"/>
    <x v="0"/>
    <n v="0"/>
    <s v=""/>
    <e v="#VALUE!"/>
    <e v="#VALUE!"/>
    <x v="1"/>
    <m/>
    <n v="0"/>
    <x v="1"/>
    <e v="#VALUE!"/>
    <e v="#VALUE!"/>
    <e v="#VALUE!"/>
  </r>
  <r>
    <x v="1"/>
    <x v="2"/>
    <x v="1"/>
    <x v="1"/>
    <x v="1"/>
    <x v="1"/>
    <x v="1"/>
    <n v="0"/>
    <x v="1"/>
    <x v="0"/>
    <n v="0"/>
    <s v=""/>
    <e v="#VALUE!"/>
    <e v="#VALUE!"/>
    <x v="1"/>
    <m/>
    <n v="0"/>
    <x v="1"/>
    <e v="#VALUE!"/>
    <e v="#VALUE!"/>
    <e v="#VALUE!"/>
  </r>
  <r>
    <x v="1"/>
    <x v="2"/>
    <x v="1"/>
    <x v="1"/>
    <x v="1"/>
    <x v="1"/>
    <x v="1"/>
    <n v="0"/>
    <x v="1"/>
    <x v="0"/>
    <n v="0"/>
    <s v=""/>
    <e v="#VALUE!"/>
    <e v="#VALUE!"/>
    <x v="1"/>
    <m/>
    <n v="0"/>
    <x v="1"/>
    <e v="#VALUE!"/>
    <e v="#VALUE!"/>
    <e v="#VALUE!"/>
  </r>
  <r>
    <x v="1"/>
    <x v="2"/>
    <x v="1"/>
    <x v="1"/>
    <x v="1"/>
    <x v="1"/>
    <x v="1"/>
    <n v="0"/>
    <x v="1"/>
    <x v="0"/>
    <n v="0"/>
    <s v=""/>
    <e v="#VALUE!"/>
    <e v="#VALUE!"/>
    <x v="1"/>
    <m/>
    <n v="0"/>
    <x v="1"/>
    <e v="#VALUE!"/>
    <e v="#VALUE!"/>
    <e v="#VALUE!"/>
  </r>
  <r>
    <x v="1"/>
    <x v="2"/>
    <x v="1"/>
    <x v="1"/>
    <x v="1"/>
    <x v="1"/>
    <x v="1"/>
    <n v="0"/>
    <x v="1"/>
    <x v="0"/>
    <n v="0"/>
    <s v=""/>
    <e v="#VALUE!"/>
    <e v="#VALUE!"/>
    <x v="1"/>
    <m/>
    <n v="0"/>
    <x v="1"/>
    <e v="#VALUE!"/>
    <e v="#VALUE!"/>
    <e v="#VALUE!"/>
  </r>
  <r>
    <x v="1"/>
    <x v="2"/>
    <x v="1"/>
    <x v="1"/>
    <x v="1"/>
    <x v="1"/>
    <x v="1"/>
    <n v="0"/>
    <x v="1"/>
    <x v="0"/>
    <n v="0"/>
    <s v=""/>
    <e v="#VALUE!"/>
    <e v="#VALUE!"/>
    <x v="1"/>
    <m/>
    <n v="0"/>
    <x v="1"/>
    <e v="#VALUE!"/>
    <e v="#VALUE!"/>
    <e v="#VALUE!"/>
  </r>
  <r>
    <x v="1"/>
    <x v="2"/>
    <x v="1"/>
    <x v="1"/>
    <x v="1"/>
    <x v="1"/>
    <x v="1"/>
    <n v="0"/>
    <x v="1"/>
    <x v="0"/>
    <n v="0"/>
    <s v=""/>
    <e v="#VALUE!"/>
    <e v="#VALUE!"/>
    <x v="1"/>
    <m/>
    <n v="0"/>
    <x v="1"/>
    <e v="#VALUE!"/>
    <e v="#VALUE!"/>
    <e v="#VALUE!"/>
  </r>
  <r>
    <x v="1"/>
    <x v="2"/>
    <x v="1"/>
    <x v="1"/>
    <x v="1"/>
    <x v="1"/>
    <x v="1"/>
    <n v="0"/>
    <x v="1"/>
    <x v="0"/>
    <n v="0"/>
    <s v=""/>
    <e v="#VALUE!"/>
    <e v="#VALUE!"/>
    <x v="1"/>
    <m/>
    <n v="0"/>
    <x v="1"/>
    <e v="#VALUE!"/>
    <e v="#VALUE!"/>
    <e v="#VALUE!"/>
  </r>
  <r>
    <x v="1"/>
    <x v="2"/>
    <x v="1"/>
    <x v="1"/>
    <x v="1"/>
    <x v="1"/>
    <x v="1"/>
    <n v="0"/>
    <x v="1"/>
    <x v="0"/>
    <n v="0"/>
    <s v=""/>
    <e v="#VALUE!"/>
    <e v="#VALUE!"/>
    <x v="1"/>
    <m/>
    <n v="0"/>
    <x v="1"/>
    <e v="#VALUE!"/>
    <e v="#VALUE!"/>
    <e v="#VALUE!"/>
  </r>
  <r>
    <x v="1"/>
    <x v="2"/>
    <x v="1"/>
    <x v="1"/>
    <x v="1"/>
    <x v="1"/>
    <x v="1"/>
    <n v="0"/>
    <x v="1"/>
    <x v="0"/>
    <n v="0"/>
    <s v=""/>
    <e v="#VALUE!"/>
    <e v="#VALUE!"/>
    <x v="1"/>
    <m/>
    <n v="0"/>
    <x v="1"/>
    <e v="#VALUE!"/>
    <e v="#VALUE!"/>
    <e v="#VALUE!"/>
  </r>
  <r>
    <x v="1"/>
    <x v="2"/>
    <x v="1"/>
    <x v="1"/>
    <x v="1"/>
    <x v="1"/>
    <x v="1"/>
    <n v="0"/>
    <x v="1"/>
    <x v="0"/>
    <n v="0"/>
    <s v=""/>
    <e v="#VALUE!"/>
    <e v="#VALUE!"/>
    <x v="1"/>
    <m/>
    <n v="0"/>
    <x v="1"/>
    <e v="#VALUE!"/>
    <e v="#VALUE!"/>
    <e v="#VALUE!"/>
  </r>
  <r>
    <x v="1"/>
    <x v="2"/>
    <x v="1"/>
    <x v="1"/>
    <x v="1"/>
    <x v="1"/>
    <x v="1"/>
    <n v="0"/>
    <x v="1"/>
    <x v="0"/>
    <n v="0"/>
    <s v=""/>
    <e v="#VALUE!"/>
    <e v="#VALUE!"/>
    <x v="1"/>
    <m/>
    <n v="0"/>
    <x v="1"/>
    <e v="#VALUE!"/>
    <e v="#VALUE!"/>
    <e v="#VALUE!"/>
  </r>
  <r>
    <x v="1"/>
    <x v="2"/>
    <x v="1"/>
    <x v="1"/>
    <x v="1"/>
    <x v="1"/>
    <x v="1"/>
    <n v="0"/>
    <x v="1"/>
    <x v="0"/>
    <n v="0"/>
    <s v=""/>
    <e v="#VALUE!"/>
    <e v="#VALUE!"/>
    <x v="1"/>
    <m/>
    <n v="0"/>
    <x v="1"/>
    <e v="#VALUE!"/>
    <e v="#VALUE!"/>
    <e v="#VALUE!"/>
  </r>
  <r>
    <x v="1"/>
    <x v="2"/>
    <x v="1"/>
    <x v="1"/>
    <x v="1"/>
    <x v="1"/>
    <x v="1"/>
    <n v="0"/>
    <x v="1"/>
    <x v="0"/>
    <n v="0"/>
    <s v=""/>
    <e v="#VALUE!"/>
    <e v="#VALUE!"/>
    <x v="1"/>
    <m/>
    <n v="0"/>
    <x v="1"/>
    <e v="#VALUE!"/>
    <e v="#VALUE!"/>
    <e v="#VALUE!"/>
  </r>
  <r>
    <x v="1"/>
    <x v="2"/>
    <x v="1"/>
    <x v="1"/>
    <x v="1"/>
    <x v="1"/>
    <x v="1"/>
    <n v="0"/>
    <x v="1"/>
    <x v="0"/>
    <n v="0"/>
    <s v=""/>
    <e v="#VALUE!"/>
    <e v="#VALUE!"/>
    <x v="1"/>
    <m/>
    <n v="0"/>
    <x v="1"/>
    <e v="#VALUE!"/>
    <e v="#VALUE!"/>
    <e v="#VALUE!"/>
  </r>
  <r>
    <x v="1"/>
    <x v="2"/>
    <x v="1"/>
    <x v="1"/>
    <x v="1"/>
    <x v="1"/>
    <x v="1"/>
    <n v="0"/>
    <x v="1"/>
    <x v="0"/>
    <m/>
    <s v=""/>
    <e v="#VALUE!"/>
    <e v="#VALUE!"/>
    <x v="1"/>
    <m/>
    <n v="0"/>
    <x v="1"/>
    <e v="#VALUE!"/>
    <e v="#VALUE!"/>
    <e v="#VALUE!"/>
  </r>
  <r>
    <x v="1"/>
    <x v="2"/>
    <x v="1"/>
    <x v="1"/>
    <x v="1"/>
    <x v="1"/>
    <x v="1"/>
    <n v="0"/>
    <x v="1"/>
    <x v="0"/>
    <m/>
    <s v=""/>
    <e v="#VALUE!"/>
    <e v="#VALUE!"/>
    <x v="1"/>
    <m/>
    <n v="0"/>
    <x v="1"/>
    <e v="#VALUE!"/>
    <e v="#VALUE!"/>
    <e v="#VALUE!"/>
  </r>
  <r>
    <x v="1"/>
    <x v="2"/>
    <x v="1"/>
    <x v="1"/>
    <x v="1"/>
    <x v="1"/>
    <x v="1"/>
    <n v="0"/>
    <x v="1"/>
    <x v="0"/>
    <m/>
    <s v=""/>
    <e v="#VALUE!"/>
    <e v="#VALUE!"/>
    <x v="1"/>
    <m/>
    <n v="0"/>
    <x v="1"/>
    <e v="#VALUE!"/>
    <e v="#VALUE!"/>
    <e v="#VALUE!"/>
  </r>
  <r>
    <x v="1"/>
    <x v="2"/>
    <x v="1"/>
    <x v="1"/>
    <x v="1"/>
    <x v="1"/>
    <x v="1"/>
    <n v="0"/>
    <x v="1"/>
    <x v="0"/>
    <m/>
    <s v=""/>
    <e v="#VALUE!"/>
    <e v="#VALUE!"/>
    <x v="1"/>
    <m/>
    <n v="0"/>
    <x v="1"/>
    <e v="#VALUE!"/>
    <e v="#VALUE!"/>
    <e v="#VALUE!"/>
  </r>
  <r>
    <x v="1"/>
    <x v="2"/>
    <x v="1"/>
    <x v="1"/>
    <x v="1"/>
    <x v="1"/>
    <x v="1"/>
    <n v="0"/>
    <x v="1"/>
    <x v="0"/>
    <m/>
    <s v=""/>
    <e v="#VALUE!"/>
    <e v="#VALUE!"/>
    <x v="1"/>
    <m/>
    <n v="0"/>
    <x v="1"/>
    <e v="#VALUE!"/>
    <e v="#VALUE!"/>
    <e v="#VALUE!"/>
  </r>
  <r>
    <x v="0"/>
    <x v="1"/>
    <x v="1"/>
    <x v="1"/>
    <x v="2"/>
    <x v="2"/>
    <x v="0"/>
    <n v="4014.09"/>
    <x v="2"/>
    <x v="1"/>
    <m/>
    <n v="0"/>
    <m/>
    <m/>
    <x v="0"/>
    <n v="0"/>
    <n v="0"/>
    <x v="0"/>
    <e v="#VALUE!"/>
    <e v="#VALUE!"/>
    <e v="#VALUE!"/>
  </r>
  <r>
    <x v="1"/>
    <x v="1"/>
    <x v="1"/>
    <x v="1"/>
    <x v="1"/>
    <x v="1"/>
    <x v="1"/>
    <m/>
    <x v="1"/>
    <x v="0"/>
    <m/>
    <m/>
    <m/>
    <m/>
    <x v="2"/>
    <m/>
    <m/>
    <x v="2"/>
    <m/>
    <m/>
    <m/>
  </r>
  <r>
    <x v="1"/>
    <x v="1"/>
    <x v="1"/>
    <x v="1"/>
    <x v="1"/>
    <x v="1"/>
    <x v="1"/>
    <m/>
    <x v="1"/>
    <x v="0"/>
    <m/>
    <m/>
    <m/>
    <m/>
    <x v="2"/>
    <m/>
    <m/>
    <x v="2"/>
    <m/>
    <m/>
    <m/>
  </r>
  <r>
    <x v="1"/>
    <x v="1"/>
    <x v="1"/>
    <x v="1"/>
    <x v="1"/>
    <x v="1"/>
    <x v="1"/>
    <m/>
    <x v="1"/>
    <x v="0"/>
    <m/>
    <m/>
    <m/>
    <m/>
    <x v="2"/>
    <m/>
    <m/>
    <x v="2"/>
    <m/>
    <m/>
    <m/>
  </r>
  <r>
    <x v="1"/>
    <x v="1"/>
    <x v="1"/>
    <x v="1"/>
    <x v="1"/>
    <x v="1"/>
    <x v="1"/>
    <m/>
    <x v="1"/>
    <x v="0"/>
    <m/>
    <m/>
    <m/>
    <m/>
    <x v="2"/>
    <m/>
    <m/>
    <x v="2"/>
    <m/>
    <m/>
    <m/>
  </r>
  <r>
    <x v="1"/>
    <x v="1"/>
    <x v="1"/>
    <x v="1"/>
    <x v="1"/>
    <x v="1"/>
    <x v="1"/>
    <m/>
    <x v="1"/>
    <x v="0"/>
    <m/>
    <m/>
    <m/>
    <m/>
    <x v="2"/>
    <m/>
    <m/>
    <x v="2"/>
    <m/>
    <m/>
    <m/>
  </r>
  <r>
    <x v="1"/>
    <x v="1"/>
    <x v="1"/>
    <x v="1"/>
    <x v="1"/>
    <x v="1"/>
    <x v="1"/>
    <m/>
    <x v="1"/>
    <x v="0"/>
    <m/>
    <m/>
    <m/>
    <m/>
    <x v="2"/>
    <m/>
    <m/>
    <x v="2"/>
    <m/>
    <m/>
    <m/>
  </r>
  <r>
    <x v="1"/>
    <x v="1"/>
    <x v="1"/>
    <x v="1"/>
    <x v="1"/>
    <x v="1"/>
    <x v="1"/>
    <m/>
    <x v="1"/>
    <x v="0"/>
    <m/>
    <m/>
    <m/>
    <m/>
    <x v="2"/>
    <m/>
    <m/>
    <x v="2"/>
    <m/>
    <m/>
    <m/>
  </r>
  <r>
    <x v="1"/>
    <x v="1"/>
    <x v="1"/>
    <x v="1"/>
    <x v="1"/>
    <x v="1"/>
    <x v="1"/>
    <m/>
    <x v="1"/>
    <x v="0"/>
    <m/>
    <m/>
    <m/>
    <m/>
    <x v="2"/>
    <m/>
    <m/>
    <x v="2"/>
    <m/>
    <m/>
    <m/>
  </r>
  <r>
    <x v="1"/>
    <x v="1"/>
    <x v="1"/>
    <x v="1"/>
    <x v="1"/>
    <x v="1"/>
    <x v="1"/>
    <m/>
    <x v="1"/>
    <x v="0"/>
    <m/>
    <m/>
    <m/>
    <m/>
    <x v="2"/>
    <m/>
    <m/>
    <x v="2"/>
    <m/>
    <m/>
    <m/>
  </r>
  <r>
    <x v="1"/>
    <x v="1"/>
    <x v="1"/>
    <x v="1"/>
    <x v="1"/>
    <x v="1"/>
    <x v="1"/>
    <m/>
    <x v="1"/>
    <x v="0"/>
    <m/>
    <m/>
    <m/>
    <m/>
    <x v="2"/>
    <m/>
    <m/>
    <x v="2"/>
    <m/>
    <m/>
    <m/>
  </r>
  <r>
    <x v="1"/>
    <x v="1"/>
    <x v="1"/>
    <x v="1"/>
    <x v="1"/>
    <x v="1"/>
    <x v="1"/>
    <m/>
    <x v="1"/>
    <x v="0"/>
    <m/>
    <m/>
    <m/>
    <m/>
    <x v="2"/>
    <m/>
    <m/>
    <x v="2"/>
    <m/>
    <m/>
    <m/>
  </r>
  <r>
    <x v="1"/>
    <x v="1"/>
    <x v="1"/>
    <x v="1"/>
    <x v="1"/>
    <x v="1"/>
    <x v="1"/>
    <m/>
    <x v="1"/>
    <x v="0"/>
    <m/>
    <m/>
    <m/>
    <m/>
    <x v="2"/>
    <m/>
    <m/>
    <x v="2"/>
    <m/>
    <m/>
    <m/>
  </r>
  <r>
    <x v="1"/>
    <x v="1"/>
    <x v="1"/>
    <x v="1"/>
    <x v="1"/>
    <x v="1"/>
    <x v="1"/>
    <m/>
    <x v="1"/>
    <x v="0"/>
    <m/>
    <m/>
    <m/>
    <m/>
    <x v="2"/>
    <m/>
    <m/>
    <x v="2"/>
    <m/>
    <m/>
    <m/>
  </r>
  <r>
    <x v="1"/>
    <x v="1"/>
    <x v="1"/>
    <x v="1"/>
    <x v="1"/>
    <x v="1"/>
    <x v="1"/>
    <m/>
    <x v="1"/>
    <x v="0"/>
    <m/>
    <m/>
    <m/>
    <m/>
    <x v="2"/>
    <m/>
    <m/>
    <x v="2"/>
    <m/>
    <m/>
    <m/>
  </r>
  <r>
    <x v="1"/>
    <x v="1"/>
    <x v="1"/>
    <x v="1"/>
    <x v="1"/>
    <x v="1"/>
    <x v="1"/>
    <m/>
    <x v="1"/>
    <x v="0"/>
    <m/>
    <m/>
    <m/>
    <m/>
    <x v="2"/>
    <m/>
    <m/>
    <x v="2"/>
    <m/>
    <m/>
    <m/>
  </r>
  <r>
    <x v="1"/>
    <x v="1"/>
    <x v="1"/>
    <x v="1"/>
    <x v="1"/>
    <x v="1"/>
    <x v="1"/>
    <m/>
    <x v="1"/>
    <x v="0"/>
    <m/>
    <m/>
    <m/>
    <m/>
    <x v="2"/>
    <m/>
    <m/>
    <x v="2"/>
    <m/>
    <m/>
    <m/>
  </r>
  <r>
    <x v="1"/>
    <x v="1"/>
    <x v="1"/>
    <x v="1"/>
    <x v="1"/>
    <x v="1"/>
    <x v="1"/>
    <m/>
    <x v="1"/>
    <x v="0"/>
    <m/>
    <m/>
    <m/>
    <m/>
    <x v="2"/>
    <m/>
    <m/>
    <x v="2"/>
    <m/>
    <m/>
    <m/>
  </r>
  <r>
    <x v="1"/>
    <x v="1"/>
    <x v="1"/>
    <x v="1"/>
    <x v="1"/>
    <x v="1"/>
    <x v="1"/>
    <m/>
    <x v="1"/>
    <x v="0"/>
    <m/>
    <m/>
    <m/>
    <m/>
    <x v="2"/>
    <m/>
    <m/>
    <x v="2"/>
    <m/>
    <m/>
    <m/>
  </r>
  <r>
    <x v="1"/>
    <x v="1"/>
    <x v="1"/>
    <x v="1"/>
    <x v="1"/>
    <x v="1"/>
    <x v="1"/>
    <m/>
    <x v="1"/>
    <x v="0"/>
    <m/>
    <m/>
    <m/>
    <m/>
    <x v="2"/>
    <m/>
    <m/>
    <x v="2"/>
    <m/>
    <m/>
    <m/>
  </r>
  <r>
    <x v="1"/>
    <x v="1"/>
    <x v="1"/>
    <x v="1"/>
    <x v="1"/>
    <x v="1"/>
    <x v="1"/>
    <m/>
    <x v="1"/>
    <x v="0"/>
    <m/>
    <m/>
    <m/>
    <m/>
    <x v="2"/>
    <m/>
    <m/>
    <x v="2"/>
    <m/>
    <m/>
    <m/>
  </r>
  <r>
    <x v="1"/>
    <x v="1"/>
    <x v="1"/>
    <x v="1"/>
    <x v="1"/>
    <x v="1"/>
    <x v="1"/>
    <m/>
    <x v="1"/>
    <x v="0"/>
    <m/>
    <m/>
    <m/>
    <m/>
    <x v="2"/>
    <m/>
    <m/>
    <x v="2"/>
    <m/>
    <m/>
    <m/>
  </r>
  <r>
    <x v="1"/>
    <x v="1"/>
    <x v="1"/>
    <x v="1"/>
    <x v="1"/>
    <x v="1"/>
    <x v="1"/>
    <m/>
    <x v="1"/>
    <x v="0"/>
    <m/>
    <m/>
    <m/>
    <m/>
    <x v="2"/>
    <m/>
    <m/>
    <x v="2"/>
    <m/>
    <m/>
    <m/>
  </r>
  <r>
    <x v="1"/>
    <x v="1"/>
    <x v="1"/>
    <x v="1"/>
    <x v="1"/>
    <x v="1"/>
    <x v="1"/>
    <m/>
    <x v="1"/>
    <x v="0"/>
    <m/>
    <m/>
    <m/>
    <m/>
    <x v="2"/>
    <m/>
    <m/>
    <x v="2"/>
    <m/>
    <m/>
    <m/>
  </r>
</pivotCacheRecords>
</file>

<file path=xl/pivotTables/_rels/pivotTable1.xml.rels><?xml version="1.0" encoding="UTF-8" standalone="yes"?><Relationships xmlns="http://schemas.openxmlformats.org/package/2006/relationships"><Relationship Id="rId1" Target="../pivotCache/pivotCacheDefinition2.xml" Type="http://schemas.openxmlformats.org/officeDocument/2006/relationships/pivotCacheDefinition"/></Relationships>
</file>

<file path=xl/pivotTables/_rels/pivotTable2.xml.rels><?xml version="1.0" encoding="UTF-8" standalone="yes"?><Relationships xmlns="http://schemas.openxmlformats.org/package/2006/relationships"><Relationship Id="rId1" Target="../pivotCache/pivotCacheDefinition1.xml" Type="http://schemas.openxmlformats.org/officeDocument/2006/relationships/pivotCacheDefinition"/></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Tableau croisé dynamique5" cacheId="4" applyNumberFormats="0" applyBorderFormats="0" applyFontFormats="0" applyPatternFormats="0" applyAlignmentFormats="0" applyWidthHeightFormats="1" dataCaption="Valeurs" showMissing="0" updatedVersion="8" minRefreshableVersion="3" showCalcMbrs="0" showDrill="0" showDataTips="0" useAutoFormatting="1" rowGrandTotals="0" colGrandTotals="0" itemPrintTitles="1" createdVersion="3" indent="0" compact="0" compactData="0">
  <location ref="A17:G18" firstHeaderRow="1" firstDataRow="1" firstDataCol="7"/>
  <pivotFields count="24">
    <pivotField compact="0" outline="0" showAll="0" defaultSubtotal="0"/>
    <pivotField axis="axisRow" compact="0" outline="0" showAll="0" defaultSubtotal="0">
      <items count="3">
        <item x="1"/>
        <item x="2"/>
        <item x="0"/>
      </items>
    </pivotField>
    <pivotField compact="0" outline="0" showAll="0" defaultSubtotal="0"/>
    <pivotField compact="0" outline="0" showAll="0" defaultSubtotal="0"/>
    <pivotField compact="0" outline="0" showAll="0" defaultSubtotal="0"/>
    <pivotField axis="axisRow" compact="0" outline="0" showAll="0" defaultSubtotal="0">
      <items count="3">
        <item x="1"/>
        <item m="1" x="2"/>
        <item x="0"/>
      </items>
    </pivotField>
    <pivotField name="Débiteur" axis="axisRow" compact="0" outline="0" showAll="0" defaultSubtotal="0">
      <items count="3">
        <item x="1"/>
        <item x="2"/>
        <item x="0"/>
      </items>
    </pivotField>
    <pivotField compact="0" outline="0" showAll="0" defaultSubtotal="0"/>
    <pivotField compact="0" outline="0" showAll="0" defaultSubtota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name="Encaissements" axis="axisRow" compact="0" outline="0" showAll="0" defaultSubtotal="0">
      <items count="5">
        <item x="1"/>
        <item x="2"/>
        <item m="1" x="4"/>
        <item m="1" x="3"/>
        <item x="0"/>
      </items>
    </pivotField>
    <pivotField axis="axisRow" compact="0" outline="0" multipleItemSelectionAllowed="1" showAll="0" defaultSubtotal="0">
      <items count="3">
        <item h="1" x="1"/>
        <item h="1" m="1" x="2"/>
        <item x="0"/>
      </items>
    </pivotField>
    <pivotField axis="axisRow" compact="0" numFmtId="168" outline="0" showAll="0" defaultSubtotal="0">
      <items count="3">
        <item x="0"/>
        <item x="1"/>
        <item m="1" x="2"/>
      </items>
    </pivotField>
    <pivotField compact="0" numFmtId="168" outline="0" showAll="0"/>
    <pivotField compact="0" numFmtId="2" outline="0" showAll="0"/>
    <pivotField compact="0" numFmtId="2" outline="0" showAll="0"/>
    <pivotField axis="axisRow" compact="0" numFmtId="2" outline="0" showAll="0" defaultSubtotal="0">
      <items count="8">
        <item x="2"/>
        <item m="1" x="7"/>
        <item m="1" x="6"/>
        <item m="1" x="5"/>
        <item x="1"/>
        <item m="1" x="3"/>
        <item m="1" x="4"/>
        <item x="0"/>
      </items>
    </pivotField>
  </pivotFields>
  <rowFields count="7">
    <field x="1"/>
    <field x="5"/>
    <field x="6"/>
    <field x="17"/>
    <field x="23"/>
    <field x="19"/>
    <field x="18"/>
  </rowFields>
  <rowItems count="1">
    <i>
      <x v="2"/>
      <x v="2"/>
      <x v="2"/>
      <x v="4"/>
      <x v="7"/>
      <x/>
      <x v="2"/>
    </i>
  </rowItems>
  <colItems count="1">
    <i/>
  </colItems>
  <formats count="54">
    <format dxfId="101">
      <pivotArea type="all" dataOnly="0" outline="0" fieldPosition="0"/>
    </format>
    <format dxfId="100">
      <pivotArea field="19" type="button" dataOnly="0" labelOnly="1" outline="0" axis="axisRow" fieldPosition="5"/>
    </format>
    <format dxfId="99">
      <pivotArea field="17" type="button" dataOnly="0" labelOnly="1" outline="0" axis="axisRow" fieldPosition="3"/>
    </format>
    <format dxfId="98">
      <pivotArea field="23" type="button" dataOnly="0" labelOnly="1" outline="0" axis="axisRow" fieldPosition="4"/>
    </format>
    <format dxfId="97">
      <pivotArea type="all" dataOnly="0" outline="0" fieldPosition="0"/>
    </format>
    <format dxfId="96">
      <pivotArea field="1" type="button" dataOnly="0" labelOnly="1" outline="0" axis="axisRow" fieldPosition="0"/>
    </format>
    <format dxfId="95">
      <pivotArea field="5" type="button" dataOnly="0" labelOnly="1" outline="0" axis="axisRow" fieldPosition="1"/>
    </format>
    <format dxfId="94">
      <pivotArea field="6" type="button" dataOnly="0" labelOnly="1" outline="0" axis="axisRow" fieldPosition="2"/>
    </format>
    <format dxfId="93">
      <pivotArea field="17" type="button" dataOnly="0" labelOnly="1" outline="0" axis="axisRow" fieldPosition="3"/>
    </format>
    <format dxfId="92">
      <pivotArea field="23" type="button" dataOnly="0" labelOnly="1" outline="0" axis="axisRow" fieldPosition="4"/>
    </format>
    <format dxfId="91">
      <pivotArea field="19" type="button" dataOnly="0" labelOnly="1" outline="0" axis="axisRow" fieldPosition="5"/>
    </format>
    <format dxfId="90">
      <pivotArea field="18" type="button" dataOnly="0" labelOnly="1" outline="0" axis="axisRow" fieldPosition="6"/>
    </format>
    <format dxfId="89">
      <pivotArea dataOnly="0" labelOnly="1" outline="0" fieldPosition="0">
        <references count="1">
          <reference field="1" count="0"/>
        </references>
      </pivotArea>
    </format>
    <format dxfId="88">
      <pivotArea type="all" dataOnly="0" outline="0" fieldPosition="0"/>
    </format>
    <format dxfId="87">
      <pivotArea field="1" type="button" dataOnly="0" labelOnly="1" outline="0" axis="axisRow" fieldPosition="0"/>
    </format>
    <format dxfId="86">
      <pivotArea field="5" type="button" dataOnly="0" labelOnly="1" outline="0" axis="axisRow" fieldPosition="1"/>
    </format>
    <format dxfId="85">
      <pivotArea field="6" type="button" dataOnly="0" labelOnly="1" outline="0" axis="axisRow" fieldPosition="2"/>
    </format>
    <format dxfId="84">
      <pivotArea field="17" type="button" dataOnly="0" labelOnly="1" outline="0" axis="axisRow" fieldPosition="3"/>
    </format>
    <format dxfId="83">
      <pivotArea field="23" type="button" dataOnly="0" labelOnly="1" outline="0" axis="axisRow" fieldPosition="4"/>
    </format>
    <format dxfId="82">
      <pivotArea field="19" type="button" dataOnly="0" labelOnly="1" outline="0" axis="axisRow" fieldPosition="5"/>
    </format>
    <format dxfId="81">
      <pivotArea field="18" type="button" dataOnly="0" labelOnly="1" outline="0" axis="axisRow" fieldPosition="6"/>
    </format>
    <format dxfId="80">
      <pivotArea dataOnly="0" labelOnly="1" outline="0" fieldPosition="0">
        <references count="1">
          <reference field="1" count="0"/>
        </references>
      </pivotArea>
    </format>
    <format dxfId="79">
      <pivotArea dataOnly="0" labelOnly="1" outline="0" fieldPosition="0">
        <references count="2">
          <reference field="1" count="1" selected="0">
            <x v="0"/>
          </reference>
          <reference field="5" count="1">
            <x v="0"/>
          </reference>
        </references>
      </pivotArea>
    </format>
    <format dxfId="78">
      <pivotArea dataOnly="0" labelOnly="1" outline="0" fieldPosition="0">
        <references count="3">
          <reference field="1" count="1" selected="0">
            <x v="0"/>
          </reference>
          <reference field="5" count="1" selected="0">
            <x v="0"/>
          </reference>
          <reference field="6" count="1">
            <x v="0"/>
          </reference>
        </references>
      </pivotArea>
    </format>
    <format dxfId="77">
      <pivotArea dataOnly="0" labelOnly="1" outline="0" fieldPosition="0">
        <references count="4">
          <reference field="1" count="1" selected="0">
            <x v="0"/>
          </reference>
          <reference field="5" count="1" selected="0">
            <x v="0"/>
          </reference>
          <reference field="6" count="1" selected="0">
            <x v="0"/>
          </reference>
          <reference field="17" count="0"/>
        </references>
      </pivotArea>
    </format>
    <format dxfId="76">
      <pivotArea dataOnly="0" labelOnly="1" outline="0" fieldPosition="0">
        <references count="4">
          <reference field="1" count="1" selected="0">
            <x v="1"/>
          </reference>
          <reference field="5" count="1" selected="0">
            <x v="0"/>
          </reference>
          <reference field="6" count="1" selected="0">
            <x v="0"/>
          </reference>
          <reference field="17" count="1">
            <x v="0"/>
          </reference>
        </references>
      </pivotArea>
    </format>
    <format dxfId="75">
      <pivotArea dataOnly="0" labelOnly="1" outline="0" fieldPosition="0">
        <references count="5">
          <reference field="1" count="1" selected="0">
            <x v="0"/>
          </reference>
          <reference field="5" count="1" selected="0">
            <x v="0"/>
          </reference>
          <reference field="6" count="1" selected="0">
            <x v="0"/>
          </reference>
          <reference field="17" count="1" selected="0">
            <x v="1"/>
          </reference>
          <reference field="23" count="1">
            <x v="0"/>
          </reference>
        </references>
      </pivotArea>
    </format>
    <format dxfId="74">
      <pivotArea dataOnly="0" labelOnly="1" outline="0" fieldPosition="0">
        <references count="6">
          <reference field="1" count="1" selected="0">
            <x v="0"/>
          </reference>
          <reference field="5" count="1" selected="0">
            <x v="0"/>
          </reference>
          <reference field="6" count="1" selected="0">
            <x v="0"/>
          </reference>
          <reference field="17" count="1" selected="0">
            <x v="1"/>
          </reference>
          <reference field="19" count="1">
            <x v="1"/>
          </reference>
          <reference field="23" count="1" selected="0">
            <x v="0"/>
          </reference>
        </references>
      </pivotArea>
    </format>
    <format dxfId="73">
      <pivotArea dataOnly="0" labelOnly="1" outline="0" fieldPosition="0">
        <references count="7">
          <reference field="1" count="1" selected="0">
            <x v="0"/>
          </reference>
          <reference field="5" count="1" selected="0">
            <x v="0"/>
          </reference>
          <reference field="6" count="1" selected="0">
            <x v="0"/>
          </reference>
          <reference field="17" count="1" selected="0">
            <x v="1"/>
          </reference>
          <reference field="18" count="0"/>
          <reference field="19" count="1" selected="0">
            <x v="1"/>
          </reference>
          <reference field="23" count="1" selected="0">
            <x v="0"/>
          </reference>
        </references>
      </pivotArea>
    </format>
    <format dxfId="72">
      <pivotArea dataOnly="0" labelOnly="1" outline="0" fieldPosition="0">
        <references count="1">
          <reference field="1" count="0"/>
        </references>
      </pivotArea>
    </format>
    <format dxfId="71">
      <pivotArea dataOnly="0" labelOnly="1" outline="0" fieldPosition="0">
        <references count="7">
          <reference field="1" count="1" selected="0">
            <x v="0"/>
          </reference>
          <reference field="5" count="1" selected="0">
            <x v="0"/>
          </reference>
          <reference field="6" count="1" selected="0">
            <x v="0"/>
          </reference>
          <reference field="17" count="1" selected="0">
            <x v="1"/>
          </reference>
          <reference field="18" count="0"/>
          <reference field="19" count="1" selected="0">
            <x v="1"/>
          </reference>
          <reference field="23" count="1" selected="0">
            <x v="0"/>
          </reference>
        </references>
      </pivotArea>
    </format>
    <format dxfId="70">
      <pivotArea dataOnly="0" labelOnly="1" outline="0" fieldPosition="0">
        <references count="1">
          <reference field="5" count="0"/>
        </references>
      </pivotArea>
    </format>
    <format dxfId="69">
      <pivotArea dataOnly="0" labelOnly="1" outline="0" fieldPosition="0">
        <references count="2">
          <reference field="1" count="1" selected="0">
            <x v="2"/>
          </reference>
          <reference field="5" count="1">
            <x v="2"/>
          </reference>
        </references>
      </pivotArea>
    </format>
    <format dxfId="68">
      <pivotArea dataOnly="0" labelOnly="1" outline="0" fieldPosition="0">
        <references count="3">
          <reference field="1" count="1" selected="0">
            <x v="2"/>
          </reference>
          <reference field="5" count="1" selected="0">
            <x v="2"/>
          </reference>
          <reference field="6" count="1">
            <x v="2"/>
          </reference>
        </references>
      </pivotArea>
    </format>
    <format dxfId="67">
      <pivotArea dataOnly="0" labelOnly="1" outline="0" fieldPosition="0">
        <references count="5">
          <reference field="1" count="1" selected="0">
            <x v="2"/>
          </reference>
          <reference field="5" count="1" selected="0">
            <x v="2"/>
          </reference>
          <reference field="6" count="1" selected="0">
            <x v="2"/>
          </reference>
          <reference field="17" count="1" selected="0">
            <x v="2"/>
          </reference>
          <reference field="23" count="1">
            <x v="2"/>
          </reference>
        </references>
      </pivotArea>
    </format>
    <format dxfId="66">
      <pivotArea dataOnly="0" labelOnly="1" outline="0" fieldPosition="0">
        <references count="6">
          <reference field="1" count="1" selected="0">
            <x v="2"/>
          </reference>
          <reference field="5" count="1" selected="0">
            <x v="2"/>
          </reference>
          <reference field="6" count="1" selected="0">
            <x v="2"/>
          </reference>
          <reference field="17" count="1" selected="0">
            <x v="2"/>
          </reference>
          <reference field="19" count="1">
            <x v="0"/>
          </reference>
          <reference field="23" count="1" selected="0">
            <x v="2"/>
          </reference>
        </references>
      </pivotArea>
    </format>
    <format dxfId="65">
      <pivotArea dataOnly="0" labelOnly="1" outline="0" fieldPosition="0">
        <references count="7">
          <reference field="1" count="1" selected="0">
            <x v="2"/>
          </reference>
          <reference field="5" count="1" selected="0">
            <x v="2"/>
          </reference>
          <reference field="6" count="1" selected="0">
            <x v="2"/>
          </reference>
          <reference field="17" count="1" selected="0">
            <x v="2"/>
          </reference>
          <reference field="18" count="0"/>
          <reference field="19" count="1" selected="0">
            <x v="0"/>
          </reference>
          <reference field="23" count="1" selected="0">
            <x v="2"/>
          </reference>
        </references>
      </pivotArea>
    </format>
    <format dxfId="64">
      <pivotArea dataOnly="0" labelOnly="1" outline="0" fieldPosition="0">
        <references count="5">
          <reference field="1" count="1" selected="0">
            <x v="2"/>
          </reference>
          <reference field="5" count="1" selected="0">
            <x v="2"/>
          </reference>
          <reference field="6" count="1" selected="0">
            <x v="2"/>
          </reference>
          <reference field="17" count="1" selected="0">
            <x v="2"/>
          </reference>
          <reference field="23" count="1">
            <x v="3"/>
          </reference>
        </references>
      </pivotArea>
    </format>
    <format dxfId="63">
      <pivotArea dataOnly="0" labelOnly="1" outline="0" fieldPosition="0">
        <references count="6">
          <reference field="1" count="1" selected="0">
            <x v="2"/>
          </reference>
          <reference field="5" count="1" selected="0">
            <x v="2"/>
          </reference>
          <reference field="6" count="1" selected="0">
            <x v="2"/>
          </reference>
          <reference field="17" count="1" selected="0">
            <x v="2"/>
          </reference>
          <reference field="19" count="1">
            <x v="0"/>
          </reference>
          <reference field="23" count="1" selected="0">
            <x v="3"/>
          </reference>
        </references>
      </pivotArea>
    </format>
    <format dxfId="62">
      <pivotArea dataOnly="0" labelOnly="1" outline="0" fieldPosition="0">
        <references count="7">
          <reference field="1" count="1" selected="0">
            <x v="2"/>
          </reference>
          <reference field="5" count="1" selected="0">
            <x v="2"/>
          </reference>
          <reference field="6" count="1" selected="0">
            <x v="2"/>
          </reference>
          <reference field="17" count="1" selected="0">
            <x v="2"/>
          </reference>
          <reference field="18" count="0"/>
          <reference field="19" count="1" selected="0">
            <x v="0"/>
          </reference>
          <reference field="23" count="1" selected="0">
            <x v="3"/>
          </reference>
        </references>
      </pivotArea>
    </format>
    <format dxfId="61">
      <pivotArea dataOnly="0" labelOnly="1" outline="0" fieldPosition="0">
        <references count="5">
          <reference field="1" count="1" selected="0">
            <x v="2"/>
          </reference>
          <reference field="5" count="1" selected="0">
            <x v="2"/>
          </reference>
          <reference field="6" count="1" selected="0">
            <x v="2"/>
          </reference>
          <reference field="17" count="1" selected="0">
            <x v="2"/>
          </reference>
          <reference field="23" count="1">
            <x v="5"/>
          </reference>
        </references>
      </pivotArea>
    </format>
    <format dxfId="60">
      <pivotArea dataOnly="0" labelOnly="1" outline="0" fieldPosition="0">
        <references count="6">
          <reference field="1" count="1" selected="0">
            <x v="2"/>
          </reference>
          <reference field="5" count="1" selected="0">
            <x v="2"/>
          </reference>
          <reference field="6" count="1" selected="0">
            <x v="2"/>
          </reference>
          <reference field="17" count="1" selected="0">
            <x v="2"/>
          </reference>
          <reference field="19" count="1">
            <x v="0"/>
          </reference>
          <reference field="23" count="1" selected="0">
            <x v="5"/>
          </reference>
        </references>
      </pivotArea>
    </format>
    <format dxfId="59">
      <pivotArea dataOnly="0" labelOnly="1" outline="0" fieldPosition="0">
        <references count="7">
          <reference field="1" count="1" selected="0">
            <x v="2"/>
          </reference>
          <reference field="5" count="1" selected="0">
            <x v="2"/>
          </reference>
          <reference field="6" count="1" selected="0">
            <x v="2"/>
          </reference>
          <reference field="17" count="1" selected="0">
            <x v="2"/>
          </reference>
          <reference field="18" count="0"/>
          <reference field="19" count="1" selected="0">
            <x v="0"/>
          </reference>
          <reference field="23" count="1" selected="0">
            <x v="5"/>
          </reference>
        </references>
      </pivotArea>
    </format>
    <format dxfId="58">
      <pivotArea dataOnly="0" labelOnly="1" outline="0" fieldPosition="0">
        <references count="7">
          <reference field="1" count="1" selected="0">
            <x v="2"/>
          </reference>
          <reference field="5" count="1" selected="0">
            <x v="2"/>
          </reference>
          <reference field="6" count="1" selected="0">
            <x v="2"/>
          </reference>
          <reference field="17" count="1" selected="0">
            <x v="3"/>
          </reference>
          <reference field="18" count="0"/>
          <reference field="19" count="1" selected="0">
            <x v="0"/>
          </reference>
          <reference field="23" count="1" selected="0">
            <x v="6"/>
          </reference>
        </references>
      </pivotArea>
    </format>
    <format dxfId="57">
      <pivotArea dataOnly="0" labelOnly="1" outline="0" fieldPosition="0">
        <references count="6">
          <reference field="1" count="1" selected="0">
            <x v="2"/>
          </reference>
          <reference field="5" count="1" selected="0">
            <x v="2"/>
          </reference>
          <reference field="6" count="1" selected="0">
            <x v="2"/>
          </reference>
          <reference field="17" count="1" selected="0">
            <x v="3"/>
          </reference>
          <reference field="19" count="1">
            <x v="0"/>
          </reference>
          <reference field="23" count="1" selected="0">
            <x v="6"/>
          </reference>
        </references>
      </pivotArea>
    </format>
    <format dxfId="56">
      <pivotArea dataOnly="0" labelOnly="1" outline="0" fieldPosition="0">
        <references count="5">
          <reference field="1" count="1" selected="0">
            <x v="2"/>
          </reference>
          <reference field="5" count="1" selected="0">
            <x v="2"/>
          </reference>
          <reference field="6" count="1" selected="0">
            <x v="2"/>
          </reference>
          <reference field="17" count="1" selected="0">
            <x v="3"/>
          </reference>
          <reference field="23" count="1">
            <x v="6"/>
          </reference>
        </references>
      </pivotArea>
    </format>
    <format dxfId="55">
      <pivotArea dataOnly="0" labelOnly="1" outline="0" fieldPosition="0">
        <references count="6">
          <reference field="1" count="1" selected="0">
            <x v="2"/>
          </reference>
          <reference field="5" count="1" selected="0">
            <x v="2"/>
          </reference>
          <reference field="6" count="1" selected="0">
            <x v="2"/>
          </reference>
          <reference field="17" count="1" selected="0">
            <x v="3"/>
          </reference>
          <reference field="19" count="1">
            <x v="2"/>
          </reference>
          <reference field="23" count="1" selected="0">
            <x v="6"/>
          </reference>
        </references>
      </pivotArea>
    </format>
    <format dxfId="54">
      <pivotArea dataOnly="0" labelOnly="1" outline="0" fieldPosition="0">
        <references count="7">
          <reference field="1" count="1" selected="0">
            <x v="2"/>
          </reference>
          <reference field="5" count="1" selected="0">
            <x v="2"/>
          </reference>
          <reference field="6" count="1" selected="0">
            <x v="2"/>
          </reference>
          <reference field="17" count="1" selected="0">
            <x v="3"/>
          </reference>
          <reference field="18" count="0"/>
          <reference field="19" count="1" selected="0">
            <x v="2"/>
          </reference>
          <reference field="23" count="1" selected="0">
            <x v="6"/>
          </reference>
        </references>
      </pivotArea>
    </format>
    <format dxfId="53">
      <pivotArea dataOnly="0" labelOnly="1" outline="0" fieldPosition="0">
        <references count="5">
          <reference field="1" count="1" selected="0">
            <x v="2"/>
          </reference>
          <reference field="5" count="1" selected="0">
            <x v="2"/>
          </reference>
          <reference field="6" count="1" selected="0">
            <x v="2"/>
          </reference>
          <reference field="17" count="1" selected="0">
            <x v="4"/>
          </reference>
          <reference field="23" count="1">
            <x v="5"/>
          </reference>
        </references>
      </pivotArea>
    </format>
    <format dxfId="52">
      <pivotArea dataOnly="0" labelOnly="1" outline="0" fieldPosition="0">
        <references count="6">
          <reference field="1" count="1" selected="0">
            <x v="2"/>
          </reference>
          <reference field="5" count="1" selected="0">
            <x v="2"/>
          </reference>
          <reference field="6" count="1" selected="0">
            <x v="2"/>
          </reference>
          <reference field="17" count="1" selected="0">
            <x v="4"/>
          </reference>
          <reference field="19" count="1">
            <x v="0"/>
          </reference>
          <reference field="23" count="1" selected="0">
            <x v="5"/>
          </reference>
        </references>
      </pivotArea>
    </format>
    <format dxfId="51">
      <pivotArea dataOnly="0" labelOnly="1" outline="0" fieldPosition="0">
        <references count="7">
          <reference field="1" count="1" selected="0">
            <x v="2"/>
          </reference>
          <reference field="5" count="1" selected="0">
            <x v="2"/>
          </reference>
          <reference field="6" count="1" selected="0">
            <x v="2"/>
          </reference>
          <reference field="17" count="1" selected="0">
            <x v="4"/>
          </reference>
          <reference field="18" count="0"/>
          <reference field="19" count="1" selected="0">
            <x v="0"/>
          </reference>
          <reference field="23" count="1" selected="0">
            <x v="5"/>
          </reference>
        </references>
      </pivotArea>
    </format>
    <format dxfId="50">
      <pivotArea dataOnly="0" labelOnly="1" outline="0" fieldPosition="0">
        <references count="7">
          <reference field="1" count="1" selected="0">
            <x v="2"/>
          </reference>
          <reference field="5" count="1" selected="0">
            <x v="2"/>
          </reference>
          <reference field="6" count="1" selected="0">
            <x v="2"/>
          </reference>
          <reference field="17" count="1" selected="0">
            <x v="4"/>
          </reference>
          <reference field="18" count="0"/>
          <reference field="19" count="1" selected="0">
            <x v="0"/>
          </reference>
          <reference field="23" count="1" selected="0">
            <x v="7"/>
          </reference>
        </references>
      </pivotArea>
    </format>
    <format dxfId="49">
      <pivotArea dataOnly="0" labelOnly="1" outline="0" fieldPosition="0">
        <references count="5">
          <reference field="1" count="1" selected="0">
            <x v="2"/>
          </reference>
          <reference field="5" count="1" selected="0">
            <x v="2"/>
          </reference>
          <reference field="6" count="1" selected="0">
            <x v="2"/>
          </reference>
          <reference field="17" count="1" selected="0">
            <x v="4"/>
          </reference>
          <reference field="23" count="1">
            <x v="7"/>
          </reference>
        </references>
      </pivotArea>
    </format>
    <format dxfId="48">
      <pivotArea dataOnly="0" labelOnly="1" outline="0" fieldPosition="0">
        <references count="6">
          <reference field="1" count="1" selected="0">
            <x v="2"/>
          </reference>
          <reference field="5" count="1" selected="0">
            <x v="2"/>
          </reference>
          <reference field="6" count="1" selected="0">
            <x v="2"/>
          </reference>
          <reference field="17" count="1" selected="0">
            <x v="4"/>
          </reference>
          <reference field="19" count="1">
            <x v="0"/>
          </reference>
          <reference field="23" count="1" selected="0">
            <x v="7"/>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Tableau croisé dynamique1" cacheId="3" applyNumberFormats="0" applyBorderFormats="0" applyFontFormats="0" applyPatternFormats="0" applyAlignmentFormats="0" applyWidthHeightFormats="1" dataCaption="Valeurs" updatedVersion="4" minRefreshableVersion="3" showCalcMbrs="0" showDrill="0" useAutoFormatting="1" rowGrandTotals="0" colGrandTotals="0" itemPrintTitles="1" createdVersion="3" indent="0" outline="1" outlineData="1" multipleFieldFilters="0" rowHeaderCaption="NOMBRE">
  <location ref="A20:K21" firstHeaderRow="1" firstDataRow="1" firstDataCol="11"/>
  <pivotFields count="21">
    <pivotField axis="axisRow" outline="0" showAll="0" defaultSubtotal="0">
      <items count="9">
        <item x="0"/>
        <item m="1" x="7"/>
        <item m="1" x="4"/>
        <item m="1" x="6"/>
        <item m="1" x="8"/>
        <item m="1" x="3"/>
        <item m="1" x="5"/>
        <item x="1"/>
        <item m="1" x="2"/>
      </items>
    </pivotField>
    <pivotField axis="axisRow" outline="0" showAll="0" defaultSubtotal="0">
      <items count="6">
        <item x="1"/>
        <item x="2"/>
        <item m="1" x="5"/>
        <item m="1" x="3"/>
        <item m="1" x="4"/>
        <item x="0"/>
      </items>
    </pivotField>
    <pivotField axis="axisRow" outline="0" showAll="0" defaultSubtotal="0">
      <items count="6">
        <item m="1" x="3"/>
        <item m="1" x="4"/>
        <item x="1"/>
        <item m="1" x="5"/>
        <item m="1" x="2"/>
        <item x="0"/>
      </items>
    </pivotField>
    <pivotField axis="axisRow" outline="0" showAll="0" defaultSubtotal="0">
      <items count="7">
        <item m="1" x="2"/>
        <item x="1"/>
        <item m="1" x="3"/>
        <item m="1" x="4"/>
        <item m="1" x="6"/>
        <item m="1" x="5"/>
        <item x="0"/>
      </items>
    </pivotField>
    <pivotField axis="axisRow" outline="0" showAll="0" defaultSubtotal="0">
      <items count="3">
        <item x="2"/>
        <item x="1"/>
        <item x="0"/>
      </items>
    </pivotField>
    <pivotField axis="axisRow" outline="0" showAll="0" defaultSubtotal="0">
      <items count="3">
        <item x="2"/>
        <item x="1"/>
        <item x="0"/>
      </items>
    </pivotField>
    <pivotField axis="axisRow" outline="0" showAll="0" defaultSubtotal="0">
      <items count="20">
        <item m="1" x="14"/>
        <item m="1" x="7"/>
        <item m="1" x="4"/>
        <item m="1" x="5"/>
        <item m="1" x="3"/>
        <item m="1" x="8"/>
        <item m="1" x="16"/>
        <item m="1" x="11"/>
        <item x="1"/>
        <item m="1" x="18"/>
        <item m="1" x="2"/>
        <item m="1" x="15"/>
        <item m="1" x="19"/>
        <item m="1" x="17"/>
        <item m="1" x="13"/>
        <item m="1" x="12"/>
        <item m="1" x="10"/>
        <item m="1" x="9"/>
        <item m="1" x="6"/>
        <item x="0"/>
      </items>
    </pivotField>
    <pivotField showAll="0"/>
    <pivotField axis="axisRow" outline="0" showAll="0" defaultSubtotal="0">
      <items count="3">
        <item x="2"/>
        <item x="1"/>
        <item x="0"/>
      </items>
    </pivotField>
    <pivotField axis="axisRow" outline="0" showAll="0" defaultSubtotal="0">
      <items count="2">
        <item x="1"/>
        <item x="0"/>
      </items>
    </pivotField>
    <pivotField showAll="0"/>
    <pivotField showAll="0"/>
    <pivotField showAll="0"/>
    <pivotField showAll="0"/>
    <pivotField axis="axisRow" outline="0" showAll="0" defaultSubtotal="0">
      <items count="4">
        <item x="1"/>
        <item x="2"/>
        <item m="1" x="3"/>
        <item x="0"/>
      </items>
    </pivotField>
    <pivotField showAll="0"/>
    <pivotField showAll="0"/>
    <pivotField name="RECOUVRE" axis="axisRow" outline="0" showAll="0" defaultSubtotal="0">
      <items count="7">
        <item x="1"/>
        <item m="1" x="3"/>
        <item m="1" x="4"/>
        <item m="1" x="6"/>
        <item x="2"/>
        <item m="1" x="5"/>
        <item x="0"/>
      </items>
    </pivotField>
    <pivotField showAll="0"/>
    <pivotField showAll="0"/>
    <pivotField showAll="0"/>
  </pivotFields>
  <rowFields count="11">
    <field x="0"/>
    <field x="1"/>
    <field x="2"/>
    <field x="3"/>
    <field x="4"/>
    <field x="5"/>
    <field x="6"/>
    <field x="17"/>
    <field x="14"/>
    <field x="8"/>
    <field x="9"/>
  </rowFields>
  <rowItems count="1">
    <i>
      <x/>
      <x v="5"/>
      <x v="5"/>
      <x v="6"/>
      <x v="2"/>
      <x v="2"/>
      <x v="19"/>
      <x v="6"/>
      <x v="3"/>
      <x v="2"/>
      <x v="1"/>
    </i>
  </rowItems>
  <colItems count="1">
    <i/>
  </colItems>
  <formats count="28">
    <format dxfId="47">
      <pivotArea dataOnly="0" labelOnly="1" fieldPosition="0">
        <references count="1">
          <reference field="0" count="7">
            <x v="0"/>
            <x v="1"/>
            <x v="2"/>
            <x v="3"/>
            <x v="4"/>
            <x v="5"/>
            <x v="6"/>
          </reference>
        </references>
      </pivotArea>
    </format>
    <format dxfId="46">
      <pivotArea type="all" dataOnly="0" outline="0" fieldPosition="0"/>
    </format>
    <format dxfId="45">
      <pivotArea field="0" type="button" dataOnly="0" labelOnly="1" outline="0" axis="axisRow" fieldPosition="0"/>
    </format>
    <format dxfId="44">
      <pivotArea field="1" type="button" dataOnly="0" labelOnly="1" outline="0" axis="axisRow" fieldPosition="1"/>
    </format>
    <format dxfId="43">
      <pivotArea field="2" type="button" dataOnly="0" labelOnly="1" outline="0" axis="axisRow" fieldPosition="2"/>
    </format>
    <format dxfId="42">
      <pivotArea field="3" type="button" dataOnly="0" labelOnly="1" outline="0" axis="axisRow" fieldPosition="3"/>
    </format>
    <format dxfId="41">
      <pivotArea field="4" type="button" dataOnly="0" labelOnly="1" outline="0" axis="axisRow" fieldPosition="4"/>
    </format>
    <format dxfId="40">
      <pivotArea field="5" type="button" dataOnly="0" labelOnly="1" outline="0" axis="axisRow" fieldPosition="5"/>
    </format>
    <format dxfId="39">
      <pivotArea field="6" type="button" dataOnly="0" labelOnly="1" outline="0" axis="axisRow" fieldPosition="6"/>
    </format>
    <format dxfId="38">
      <pivotArea field="17" type="button" dataOnly="0" labelOnly="1" outline="0" axis="axisRow" fieldPosition="7"/>
    </format>
    <format dxfId="37">
      <pivotArea field="14" type="button" dataOnly="0" labelOnly="1" outline="0" axis="axisRow" fieldPosition="8"/>
    </format>
    <format dxfId="36">
      <pivotArea field="8" type="button" dataOnly="0" labelOnly="1" outline="0" axis="axisRow" fieldPosition="9"/>
    </format>
    <format dxfId="35">
      <pivotArea field="9" type="button" dataOnly="0" labelOnly="1" outline="0" axis="axisRow" fieldPosition="10"/>
    </format>
    <format dxfId="34">
      <pivotArea field="0" type="button" dataOnly="0" labelOnly="1" outline="0" axis="axisRow" fieldPosition="0"/>
    </format>
    <format dxfId="33">
      <pivotArea field="1" type="button" dataOnly="0" labelOnly="1" outline="0" axis="axisRow" fieldPosition="1"/>
    </format>
    <format dxfId="32">
      <pivotArea field="2" type="button" dataOnly="0" labelOnly="1" outline="0" axis="axisRow" fieldPosition="2"/>
    </format>
    <format dxfId="31">
      <pivotArea field="3" type="button" dataOnly="0" labelOnly="1" outline="0" axis="axisRow" fieldPosition="3"/>
    </format>
    <format dxfId="30">
      <pivotArea field="4" type="button" dataOnly="0" labelOnly="1" outline="0" axis="axisRow" fieldPosition="4"/>
    </format>
    <format dxfId="29">
      <pivotArea field="5" type="button" dataOnly="0" labelOnly="1" outline="0" axis="axisRow" fieldPosition="5"/>
    </format>
    <format dxfId="28">
      <pivotArea field="6" type="button" dataOnly="0" labelOnly="1" outline="0" axis="axisRow" fieldPosition="6"/>
    </format>
    <format dxfId="27">
      <pivotArea field="17" type="button" dataOnly="0" labelOnly="1" outline="0" axis="axisRow" fieldPosition="7"/>
    </format>
    <format dxfId="26">
      <pivotArea field="14" type="button" dataOnly="0" labelOnly="1" outline="0" axis="axisRow" fieldPosition="8"/>
    </format>
    <format dxfId="25">
      <pivotArea field="8" type="button" dataOnly="0" labelOnly="1" outline="0" axis="axisRow" fieldPosition="9"/>
    </format>
    <format dxfId="24">
      <pivotArea field="9" type="button" dataOnly="0" labelOnly="1" outline="0" axis="axisRow" fieldPosition="10"/>
    </format>
    <format dxfId="23">
      <pivotArea dataOnly="0" labelOnly="1" outline="0" fieldPosition="0">
        <references count="1">
          <reference field="1" count="0"/>
        </references>
      </pivotArea>
    </format>
    <format dxfId="22">
      <pivotArea dataOnly="0" labelOnly="1" outline="0" fieldPosition="0">
        <references count="1">
          <reference field="2" count="0"/>
        </references>
      </pivotArea>
    </format>
    <format dxfId="21">
      <pivotArea dataOnly="0" labelOnly="1" outline="0" fieldPosition="0">
        <references count="1">
          <reference field="3" count="0"/>
        </references>
      </pivotArea>
    </format>
    <format dxfId="20">
      <pivotArea dataOnly="0" labelOnly="1" outline="0" fieldPosition="0">
        <references count="1">
          <reference field="6" count="0"/>
        </references>
      </pivotArea>
    </format>
  </formats>
  <pivotTableStyleInfo name="Style de tableau croisé dynamique 1" showRowHeaders="1" showColHeaders="1" showRowStripes="0" showColStripes="0" showLastColumn="1"/>
  <filters count="2">
    <filter fld="2" type="dateNewerThan" evalOrder="-1" id="2">
      <autoFilter ref="A1">
        <filterColumn colId="0">
          <customFilters>
            <customFilter operator="greaterThan" val="32874"/>
          </customFilters>
        </filterColumn>
      </autoFilter>
    </filter>
    <filter fld="0" type="captionGreaterThan" evalOrder="-1" id="1" stringValue1="0">
      <autoFilter ref="A1">
        <filterColumn colId="0">
          <customFilters>
            <customFilter operator="greaterThan" val="0"/>
          </customFilters>
        </filterColumn>
      </autoFilter>
    </filter>
  </filters>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yes"?><Relationships xmlns="http://schemas.openxmlformats.org/package/2006/relationships"><Relationship Id="rId1" Target="../pivotTables/pivotTable1.xml" Type="http://schemas.openxmlformats.org/officeDocument/2006/relationships/pivotTable"/><Relationship Id="rId2" Target="../printerSettings/printerSettings2.bin" Type="http://schemas.openxmlformats.org/officeDocument/2006/relationships/printerSetting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vmlDrawing1.vml" Type="http://schemas.openxmlformats.org/officeDocument/2006/relationships/vmlDrawing"/></Relationships>
</file>

<file path=xl/worksheets/_rels/sheet4.xml.rels><?xml version="1.0" encoding="UTF-8" standalone="yes"?><Relationships xmlns="http://schemas.openxmlformats.org/package/2006/relationships"><Relationship Id="rId1" Target="../printerSettings/printerSettings4.bin" Type="http://schemas.openxmlformats.org/officeDocument/2006/relationships/printerSettings"/><Relationship Id="rId2" Target="../drawings/vmlDrawing2.vml" Type="http://schemas.openxmlformats.org/officeDocument/2006/relationships/vmlDrawing"/></Relationships>
</file>

<file path=xl/worksheets/_rels/sheet5.xml.rels><?xml version="1.0" encoding="UTF-8" standalone="yes"?><Relationships xmlns="http://schemas.openxmlformats.org/package/2006/relationships"><Relationship Id="rId1" Target="../printerSettings/printerSettings5.bin" Type="http://schemas.openxmlformats.org/officeDocument/2006/relationships/printerSettings"/><Relationship Id="rId2" Target="../drawings/drawing1.xml" Type="http://schemas.openxmlformats.org/officeDocument/2006/relationships/drawing"/><Relationship Id="rId3" Target="../drawings/vmlDrawing3.vml" Type="http://schemas.openxmlformats.org/officeDocument/2006/relationships/vmlDrawing"/></Relationships>
</file>

<file path=xl/worksheets/_rels/sheet6.xml.rels><?xml version="1.0" encoding="UTF-8" standalone="yes"?><Relationships xmlns="http://schemas.openxmlformats.org/package/2006/relationships"><Relationship Id="rId1" Target="../pivotTables/pivotTable2.xml" Type="http://schemas.openxmlformats.org/officeDocument/2006/relationships/pivotTable"/><Relationship Id="rId2" Target="../printerSettings/printerSettings6.bin" Type="http://schemas.openxmlformats.org/officeDocument/2006/relationships/printerSettings"/><Relationship Id="rId3" Target="../drawings/drawing2.xml" Type="http://schemas.openxmlformats.org/officeDocument/2006/relationships/drawing"/></Relationships>
</file>

<file path=xl/worksheets/_rels/sheet7.xml.rels><?xml version="1.0" encoding="UTF-8" standalone="yes"?><Relationships xmlns="http://schemas.openxmlformats.org/package/2006/relationships"><Relationship Id="rId1" Target="../printerSettings/printerSettings7.bin" Type="http://schemas.openxmlformats.org/officeDocument/2006/relationships/printerSettings"/><Relationship Id="rId2" Target="../drawings/drawing3.xml" Type="http://schemas.openxmlformats.org/officeDocument/2006/relationships/drawing"/></Relationships>
</file>

<file path=xl/worksheets/_rels/sheet8.xml.rels><?xml version="1.0" encoding="UTF-8" standalone="yes"?><Relationships xmlns="http://schemas.openxmlformats.org/package/2006/relationships"><Relationship Id="rId1" Target="../printerSettings/printerSettings8.bin" Type="http://schemas.openxmlformats.org/officeDocument/2006/relationships/printerSettings"/><Relationship Id="rId2" Target="../drawings/drawing4.xml" Type="http://schemas.openxmlformats.org/officeDocument/2006/relationships/drawing"/><Relationship Id="rId3" Target="../drawings/vmlDrawing4.vml" Type="http://schemas.openxmlformats.org/officeDocument/2006/relationships/vmlDrawing"/></Relationships>
</file>

<file path=xl/worksheets/_rels/sheet9.xml.rels><?xml version="1.0" encoding="UTF-8" standalone="yes"?><Relationships xmlns="http://schemas.openxmlformats.org/package/2006/relationships"><Relationship Id="rId1" Target="../printerSettings/printerSettings9.bin" Type="http://schemas.openxmlformats.org/officeDocument/2006/relationships/printerSettings"/><Relationship Id="rId2" Target="../drawings/drawing5.xml" Type="http://schemas.openxmlformats.org/officeDocument/2006/relationships/drawing"/><Relationship Id="rId3" Target="../drawings/vmlDrawing5.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X72"/>
  <sheetViews>
    <sheetView showZeros="0" tabSelected="1" topLeftCell="L16" zoomScaleNormal="100" workbookViewId="0">
      <selection activeCell="R21" sqref="R21"/>
    </sheetView>
  </sheetViews>
  <sheetFormatPr baseColWidth="10" defaultRowHeight="12.75" x14ac:dyDescent="0.35"/>
  <cols>
    <col min="1" max="1" customWidth="true" width="10.0"/>
    <col min="2" max="2" customWidth="true" width="9.73046875"/>
    <col min="3" max="3" customWidth="true" width="17.59765625"/>
    <col min="4" max="4" customWidth="true" style="4" width="17.265625"/>
    <col min="5" max="5" customWidth="true" width="20.3984375"/>
    <col min="6" max="6" customWidth="true" width="19.73046875"/>
    <col min="7" max="7" customWidth="true" style="5" width="30.0"/>
    <col min="8" max="8" customWidth="true" style="5" width="12.265625"/>
    <col min="9" max="9" customWidth="true" width="18.59765625"/>
    <col min="10" max="10" customWidth="true" style="10" width="16.265625"/>
    <col min="11" max="11" customWidth="true" width="12.0"/>
    <col min="12" max="13" customWidth="true" width="13.59765625"/>
    <col min="14" max="14" customWidth="true" width="15.73046875"/>
    <col min="15" max="15" customWidth="true" style="11" width="15.0"/>
    <col min="16" max="16" customWidth="true" width="10.73046875"/>
    <col min="17" max="17" bestFit="true" customWidth="true" style="46" width="11.59765625"/>
    <col min="18" max="18" customWidth="true" style="18" width="14.59765625"/>
    <col min="19" max="19" bestFit="true" customWidth="true" style="120" width="11.59765625"/>
    <col min="20" max="20" customWidth="true" style="18" width="17.73046875"/>
    <col min="21" max="21" customWidth="true" style="18" width="15.1328125"/>
    <col min="22" max="22" customWidth="true" width="10.3984375"/>
  </cols>
  <sheetData>
    <row r="1" spans="1:24" s="48" customFormat="1" x14ac:dyDescent="0.35">
      <c r="D1" s="49"/>
      <c r="G1" s="50"/>
      <c r="H1" s="50"/>
      <c r="J1" s="51"/>
      <c r="O1" s="52"/>
      <c r="Q1" s="53"/>
      <c r="R1" s="54"/>
      <c r="S1" s="120"/>
      <c r="T1" s="54"/>
      <c r="U1" s="54"/>
    </row>
    <row r="2" spans="1:24" s="48" customFormat="1" x14ac:dyDescent="0.35">
      <c r="G2" s="50"/>
      <c r="H2" s="50"/>
      <c r="J2" s="51"/>
      <c r="O2" s="52"/>
      <c r="Q2" s="53"/>
      <c r="R2" s="54"/>
      <c r="S2" s="120"/>
      <c r="T2" s="54"/>
      <c r="U2" s="54"/>
    </row>
    <row r="3" spans="1:24" s="48" customFormat="1" x14ac:dyDescent="0.35">
      <c r="D3" s="49"/>
      <c r="G3" s="50"/>
      <c r="H3" s="50"/>
      <c r="J3" s="51"/>
      <c r="O3" s="52"/>
      <c r="Q3" s="53"/>
      <c r="R3" s="54"/>
      <c r="S3" s="120"/>
      <c r="T3" s="54"/>
      <c r="U3" s="54"/>
    </row>
    <row r="4" spans="1:24" s="48" customFormat="1" ht="17.649999999999999" x14ac:dyDescent="0.35">
      <c r="D4" s="49"/>
      <c r="G4" s="50"/>
      <c r="H4" s="55" t="s">
        <v>198</v>
      </c>
      <c r="I4" s="55"/>
      <c r="J4" s="51"/>
      <c r="O4" s="52"/>
      <c r="Q4" s="53"/>
      <c r="R4" s="56"/>
      <c r="S4" s="121"/>
      <c r="T4" s="54"/>
      <c r="U4" s="54"/>
    </row>
    <row r="5" spans="1:24" s="48" customFormat="1" ht="17.649999999999999" x14ac:dyDescent="0.35">
      <c r="D5" s="49"/>
      <c r="G5" s="50"/>
      <c r="H5" s="55" t="s">
        <v>199</v>
      </c>
      <c r="I5" s="55"/>
      <c r="J5" s="51"/>
      <c r="O5" s="52"/>
      <c r="Q5" s="53"/>
      <c r="R5" s="56"/>
      <c r="S5" s="121">
        <v>10000</v>
      </c>
      <c r="T5" s="54">
        <f>S5*0.09</f>
        <v>900</v>
      </c>
      <c r="U5" s="54"/>
    </row>
    <row r="6" spans="1:24" s="48" customFormat="1" ht="17.649999999999999" x14ac:dyDescent="0.35">
      <c r="D6" s="49"/>
      <c r="G6" s="50"/>
      <c r="H6" s="55" t="s">
        <v>200</v>
      </c>
      <c r="I6" s="55"/>
      <c r="J6" s="51"/>
      <c r="O6" s="52"/>
      <c r="Q6" s="53"/>
      <c r="R6" s="54"/>
      <c r="S6" s="120">
        <v>30000</v>
      </c>
      <c r="T6" s="54">
        <f>(S6-S5)*0.08</f>
        <v>1600</v>
      </c>
      <c r="U6" s="54">
        <f>T5+T6</f>
        <v>2500</v>
      </c>
    </row>
    <row r="7" spans="1:24" s="48" customFormat="1" ht="17.649999999999999" x14ac:dyDescent="0.35">
      <c r="D7" s="49"/>
      <c r="G7" s="50"/>
      <c r="H7" s="55"/>
      <c r="I7" s="55"/>
      <c r="J7" s="51"/>
      <c r="O7" s="52"/>
      <c r="Q7" s="53"/>
      <c r="R7" s="56"/>
      <c r="S7" s="121">
        <v>34000</v>
      </c>
      <c r="T7" s="54">
        <f>(S7-S6)*0.06</f>
        <v>240</v>
      </c>
      <c r="U7" s="54">
        <f>U6+T7</f>
        <v>2740</v>
      </c>
    </row>
    <row r="8" spans="1:24" s="48" customFormat="1" ht="17.649999999999999" x14ac:dyDescent="0.35">
      <c r="A8" s="37"/>
      <c r="B8" s="80" t="s">
        <v>23</v>
      </c>
      <c r="C8" s="37" t="s">
        <v>22</v>
      </c>
      <c r="D8" s="49"/>
      <c r="G8" s="50"/>
      <c r="H8" s="55" t="s">
        <v>201</v>
      </c>
      <c r="I8" s="55"/>
      <c r="J8" s="51"/>
      <c r="O8" s="52"/>
      <c r="Q8" s="53"/>
      <c r="R8" s="56"/>
      <c r="S8" s="121"/>
      <c r="T8" s="54"/>
      <c r="U8" s="54"/>
    </row>
    <row r="9" spans="1:24" s="48" customFormat="1" ht="17.25" x14ac:dyDescent="0.35">
      <c r="A9" s="83" t="s">
        <v>52</v>
      </c>
      <c r="B9" s="81"/>
      <c r="C9" s="82">
        <f>LARGE(A17:A1064,1)</f>
        <v>1</v>
      </c>
      <c r="D9" s="363" t="s">
        <v>206</v>
      </c>
      <c r="G9" s="50"/>
      <c r="H9" s="126"/>
      <c r="I9" s="57"/>
      <c r="J9" s="51"/>
      <c r="O9" s="52"/>
      <c r="Q9" s="53"/>
      <c r="R9" s="54"/>
      <c r="S9" s="120"/>
      <c r="T9" s="54"/>
      <c r="U9" s="54"/>
    </row>
    <row r="10" spans="1:24" s="48" customFormat="1" ht="17.25" x14ac:dyDescent="0.35">
      <c r="A10" s="83" t="s">
        <v>24</v>
      </c>
      <c r="B10" s="81">
        <v>0</v>
      </c>
      <c r="C10" s="82" t="e">
        <f>'Lettres Phénix'!C10</f>
        <v>#NUM!</v>
      </c>
      <c r="D10" s="49"/>
      <c r="F10" s="50"/>
      <c r="G10" s="50"/>
      <c r="H10" s="57"/>
      <c r="I10" s="57"/>
      <c r="J10" s="51"/>
      <c r="O10" s="52"/>
      <c r="Q10" s="53"/>
      <c r="R10" s="54"/>
      <c r="S10" s="120"/>
      <c r="T10" s="54"/>
      <c r="U10" s="54"/>
    </row>
    <row r="11" spans="1:24" s="48" customFormat="1" ht="17.25" x14ac:dyDescent="0.35">
      <c r="A11" s="58"/>
      <c r="B11" s="58"/>
      <c r="C11" s="58"/>
      <c r="D11" s="49"/>
      <c r="G11" s="50"/>
      <c r="H11" s="57"/>
      <c r="I11" s="57"/>
      <c r="J11" s="51"/>
      <c r="O11" s="52"/>
      <c r="Q11" s="53"/>
      <c r="R11" s="54"/>
      <c r="S11" s="120"/>
      <c r="T11" s="54"/>
      <c r="U11" s="54"/>
    </row>
    <row r="12" spans="1:24" s="48" customFormat="1" ht="17.25" x14ac:dyDescent="0.35">
      <c r="A12" s="58"/>
      <c r="B12" s="58"/>
      <c r="C12" s="58"/>
      <c r="D12" s="49"/>
      <c r="G12" s="50"/>
      <c r="H12" s="57"/>
      <c r="I12" s="57"/>
      <c r="J12" s="51"/>
      <c r="O12" s="52"/>
      <c r="Q12" s="53"/>
      <c r="R12" s="54"/>
      <c r="S12" s="120"/>
      <c r="T12" s="54"/>
      <c r="U12" s="54"/>
    </row>
    <row r="13" spans="1:24" s="48" customFormat="1" ht="17.649999999999999" x14ac:dyDescent="0.35">
      <c r="A13" s="55" t="s">
        <v>203</v>
      </c>
      <c r="B13" s="55"/>
      <c r="C13" s="55"/>
      <c r="D13" s="49"/>
      <c r="G13" s="50"/>
      <c r="H13" s="50"/>
      <c r="J13" s="51"/>
      <c r="O13" s="52"/>
      <c r="Q13" s="53"/>
      <c r="R13" s="54"/>
      <c r="S13" s="120"/>
      <c r="T13" s="54"/>
      <c r="U13" s="54"/>
    </row>
    <row r="14" spans="1:24" s="48" customFormat="1" ht="12.75" customHeight="1" thickBot="1" x14ac:dyDescent="0.4">
      <c r="A14" s="59"/>
      <c r="B14" s="372" t="s">
        <v>18</v>
      </c>
      <c r="C14" s="372"/>
      <c r="D14" s="372"/>
      <c r="E14" s="372"/>
      <c r="F14" s="372"/>
      <c r="G14" s="372"/>
      <c r="H14" s="372"/>
      <c r="I14" s="372"/>
      <c r="J14" s="372"/>
      <c r="K14" s="19"/>
      <c r="L14" s="60"/>
      <c r="M14" s="44"/>
      <c r="N14" s="19"/>
      <c r="O14" s="109"/>
      <c r="Q14" s="61"/>
      <c r="R14" s="54"/>
      <c r="S14" s="120"/>
      <c r="T14" s="54"/>
      <c r="U14" s="54"/>
    </row>
    <row r="15" spans="1:24" s="48" customFormat="1" ht="12.75" customHeight="1" thickBot="1" x14ac:dyDescent="0.4">
      <c r="A15" s="62"/>
      <c r="B15" s="373"/>
      <c r="C15" s="373"/>
      <c r="D15" s="373"/>
      <c r="E15" s="373"/>
      <c r="F15" s="373"/>
      <c r="G15" s="373"/>
      <c r="H15" s="373"/>
      <c r="I15" s="373"/>
      <c r="J15" s="373"/>
      <c r="K15" s="20"/>
      <c r="L15" s="32"/>
      <c r="M15" s="45"/>
      <c r="N15" s="45"/>
      <c r="O15" s="374"/>
      <c r="P15" s="375"/>
      <c r="Q15" s="376"/>
      <c r="R15" s="54"/>
      <c r="S15" s="120"/>
      <c r="T15" s="54"/>
      <c r="U15" s="54"/>
      <c r="V15" s="50" t="s">
        <v>204</v>
      </c>
    </row>
    <row r="16" spans="1:24" s="48" customFormat="1" ht="63.75" x14ac:dyDescent="0.35">
      <c r="A16" s="63" t="s">
        <v>5</v>
      </c>
      <c r="B16" s="63" t="s">
        <v>1</v>
      </c>
      <c r="C16" s="64" t="s">
        <v>19</v>
      </c>
      <c r="D16" s="65" t="s">
        <v>20</v>
      </c>
      <c r="E16" s="110" t="s">
        <v>66</v>
      </c>
      <c r="F16" s="63" t="s">
        <v>0</v>
      </c>
      <c r="G16" s="63" t="s">
        <v>2</v>
      </c>
      <c r="H16" s="66" t="s">
        <v>41</v>
      </c>
      <c r="I16" s="66" t="s">
        <v>21</v>
      </c>
      <c r="J16" s="63" t="s">
        <v>4</v>
      </c>
      <c r="K16" s="67" t="s">
        <v>3</v>
      </c>
      <c r="L16" s="64" t="s">
        <v>17</v>
      </c>
      <c r="M16" s="64" t="s">
        <v>67</v>
      </c>
      <c r="N16" s="66" t="s">
        <v>68</v>
      </c>
      <c r="O16" s="68" t="s">
        <v>42</v>
      </c>
      <c r="P16" s="68" t="s">
        <v>44</v>
      </c>
      <c r="Q16" s="68" t="s">
        <v>45</v>
      </c>
      <c r="R16" s="69" t="s">
        <v>46</v>
      </c>
      <c r="S16" s="119" t="s">
        <v>6</v>
      </c>
      <c r="T16" s="70" t="s">
        <v>7</v>
      </c>
      <c r="U16" s="71" t="s">
        <v>8</v>
      </c>
      <c r="V16" s="72" t="s">
        <v>9</v>
      </c>
      <c r="W16" s="111" t="s">
        <v>10</v>
      </c>
      <c r="X16" s="72" t="s">
        <v>11</v>
      </c>
    </row>
    <row r="17" spans="1:24" s="48" customFormat="1" ht="14.25" x14ac:dyDescent="0.35">
      <c r="A17" s="17">
        <v>1</v>
      </c>
      <c r="B17" s="15">
        <v>1</v>
      </c>
      <c r="C17" s="13">
        <v>45736</v>
      </c>
      <c r="D17" s="12">
        <v>5</v>
      </c>
      <c r="E17" s="12">
        <v>9</v>
      </c>
      <c r="F17" s="15">
        <v>20250336</v>
      </c>
      <c r="G17" s="114" t="s">
        <v>202</v>
      </c>
      <c r="H17" s="38">
        <v>69081.02</v>
      </c>
      <c r="I17" s="36">
        <v>62000</v>
      </c>
      <c r="J17" s="112" t="s">
        <v>56</v>
      </c>
      <c r="K17" s="80" t="s">
        <v>50</v>
      </c>
      <c r="L17" s="14">
        <f>((0.15*H17)/12)*D17</f>
        <v>4317.5637500000003</v>
      </c>
      <c r="M17" s="14">
        <f>E17*40</f>
        <v>360</v>
      </c>
      <c r="N17" s="14">
        <f>L17+M17</f>
        <v>4677.5637500000003</v>
      </c>
      <c r="O17" s="14" t="str">
        <f t="shared" ref="O17:O49" si="0">RIGHT(F17,2)</f>
        <v>36</v>
      </c>
      <c r="P17" s="34">
        <f>IF(ISNUMBER(O17),O17,VALUE(RIGHT(O17,2)&amp;SUBSTITUTE(O17,RIGHT(O17,2),"")))</f>
        <v>36</v>
      </c>
      <c r="Q17" s="33">
        <f>IF(P17=99,1,2)</f>
        <v>2</v>
      </c>
      <c r="R17" s="73">
        <v>14000</v>
      </c>
      <c r="S17" s="364" t="s">
        <v>205</v>
      </c>
      <c r="T17" s="74">
        <v>0</v>
      </c>
      <c r="U17" s="75">
        <f t="shared" ref="U17:U49" si="1">I17+R17</f>
        <v>76000</v>
      </c>
      <c r="V17" s="76">
        <f>IF(Q17=2,IF(I17&lt;=10000,I17*0.09,IF(I17&lt;=30000,900+(I17-10000)*0.08,IF(I17&gt;30000,2500+(I17-30000)*0.06))))</f>
        <v>4420</v>
      </c>
      <c r="W17" s="76">
        <f>IF(Q17=2,IF(U17&lt;=10000,U17*0.09,IF(U17&lt;=30000,900+(U17-10000)*0.08,IF(U17&gt;30000,2500+(U17-30000)*0.06))))</f>
        <v>5260</v>
      </c>
      <c r="X17" s="77">
        <f>W17-V17</f>
        <v>840</v>
      </c>
    </row>
    <row r="18" spans="1:24" s="48" customFormat="1" ht="14.25" x14ac:dyDescent="0.35">
      <c r="A18" s="17"/>
      <c r="B18" s="15"/>
      <c r="C18" s="13"/>
      <c r="D18" s="12"/>
      <c r="E18" s="12"/>
      <c r="F18" s="15"/>
      <c r="G18" s="114"/>
      <c r="H18" s="40"/>
      <c r="I18" s="41"/>
      <c r="J18" s="112"/>
      <c r="K18" s="37"/>
      <c r="L18" s="14">
        <f t="shared" ref="L18:L49" si="2">((0.15*H18)/12)*D18</f>
        <v>0</v>
      </c>
      <c r="M18" s="14">
        <f t="shared" ref="M18:M49" si="3">E18*40</f>
        <v>0</v>
      </c>
      <c r="N18" s="14">
        <f t="shared" ref="N18:N49" si="4">L18+M18</f>
        <v>0</v>
      </c>
      <c r="O18" s="14" t="str">
        <f t="shared" si="0"/>
        <v/>
      </c>
      <c r="P18" s="34" t="e">
        <f t="shared" ref="P18:P48" si="5">IF(ISNUMBER(O18),O18,VALUE(RIGHT(O18,2)&amp;SUBSTITUTE(O18,RIGHT(O18,2),"")))</f>
        <v>#VALUE!</v>
      </c>
      <c r="Q18" s="33" t="e">
        <f t="shared" ref="Q18:Q48" si="6">IF(P18=99,1,2)</f>
        <v>#VALUE!</v>
      </c>
      <c r="R18" s="73">
        <v>0</v>
      </c>
      <c r="S18" s="122"/>
      <c r="T18" s="74">
        <v>0</v>
      </c>
      <c r="U18" s="75">
        <f t="shared" si="1"/>
        <v>0</v>
      </c>
      <c r="V18" s="76" t="e">
        <f t="shared" ref="V18:V49" si="7">IF(Q18=2,IF(I18&lt;=10000,I18*0.09,IF(I18&lt;=30000,900+(I18-10000)*0.08,IF(I18&gt;30000,2320+(I18-30000)*0.06))))</f>
        <v>#VALUE!</v>
      </c>
      <c r="W18" s="76" t="e">
        <f t="shared" ref="W18:W49" si="8">IF(Q18=2,IF(U18&lt;=10000,U18*0.09,IF(U18&lt;=30000,900+(U18-10000)*0.08,IF(U18&gt;30000,2500+(U18-30000)*0.06))))</f>
        <v>#VALUE!</v>
      </c>
      <c r="X18" s="77" t="e">
        <f t="shared" ref="X18:X49" si="9">W18-V18</f>
        <v>#VALUE!</v>
      </c>
    </row>
    <row r="19" spans="1:24" s="48" customFormat="1" ht="14.25" x14ac:dyDescent="0.35">
      <c r="A19" s="17"/>
      <c r="B19" s="15"/>
      <c r="C19" s="13"/>
      <c r="D19" s="12"/>
      <c r="E19" s="12"/>
      <c r="F19" s="15"/>
      <c r="G19" s="114"/>
      <c r="H19" s="40"/>
      <c r="I19" s="41"/>
      <c r="J19" s="112"/>
      <c r="K19" s="37"/>
      <c r="L19" s="14">
        <f t="shared" si="2"/>
        <v>0</v>
      </c>
      <c r="M19" s="14">
        <f t="shared" si="3"/>
        <v>0</v>
      </c>
      <c r="N19" s="14">
        <f t="shared" si="4"/>
        <v>0</v>
      </c>
      <c r="O19" s="14" t="str">
        <f t="shared" si="0"/>
        <v/>
      </c>
      <c r="P19" s="34" t="e">
        <f t="shared" si="5"/>
        <v>#VALUE!</v>
      </c>
      <c r="Q19" s="33" t="e">
        <f t="shared" si="6"/>
        <v>#VALUE!</v>
      </c>
      <c r="R19" s="73">
        <v>0</v>
      </c>
      <c r="S19" s="122"/>
      <c r="T19" s="74">
        <v>0</v>
      </c>
      <c r="U19" s="75">
        <f t="shared" si="1"/>
        <v>0</v>
      </c>
      <c r="V19" s="76" t="e">
        <f t="shared" si="7"/>
        <v>#VALUE!</v>
      </c>
      <c r="W19" s="76" t="e">
        <f t="shared" si="8"/>
        <v>#VALUE!</v>
      </c>
      <c r="X19" s="77" t="e">
        <f t="shared" si="9"/>
        <v>#VALUE!</v>
      </c>
    </row>
    <row r="20" spans="1:24" s="48" customFormat="1" ht="14.25" x14ac:dyDescent="0.35">
      <c r="A20" s="17"/>
      <c r="B20" s="15"/>
      <c r="C20" s="13"/>
      <c r="D20" s="12"/>
      <c r="E20" s="12"/>
      <c r="F20" s="15"/>
      <c r="G20" s="114"/>
      <c r="H20" s="35"/>
      <c r="I20" s="41"/>
      <c r="J20" s="112"/>
      <c r="K20" s="37"/>
      <c r="L20" s="14">
        <f t="shared" si="2"/>
        <v>0</v>
      </c>
      <c r="M20" s="14">
        <f t="shared" si="3"/>
        <v>0</v>
      </c>
      <c r="N20" s="14">
        <f t="shared" si="4"/>
        <v>0</v>
      </c>
      <c r="O20" s="14" t="str">
        <f t="shared" si="0"/>
        <v/>
      </c>
      <c r="P20" s="34" t="e">
        <f t="shared" si="5"/>
        <v>#VALUE!</v>
      </c>
      <c r="Q20" s="33" t="e">
        <f t="shared" si="6"/>
        <v>#VALUE!</v>
      </c>
      <c r="R20" s="73">
        <v>0</v>
      </c>
      <c r="S20" s="122"/>
      <c r="T20" s="74">
        <v>0</v>
      </c>
      <c r="U20" s="75">
        <f t="shared" si="1"/>
        <v>0</v>
      </c>
      <c r="V20" s="76" t="e">
        <f t="shared" si="7"/>
        <v>#VALUE!</v>
      </c>
      <c r="W20" s="76" t="e">
        <f t="shared" si="8"/>
        <v>#VALUE!</v>
      </c>
      <c r="X20" s="77" t="e">
        <f t="shared" si="9"/>
        <v>#VALUE!</v>
      </c>
    </row>
    <row r="21" spans="1:24" s="48" customFormat="1" ht="14.25" x14ac:dyDescent="0.35">
      <c r="A21" s="17"/>
      <c r="B21" s="15"/>
      <c r="C21" s="13"/>
      <c r="D21" s="12"/>
      <c r="E21" s="12"/>
      <c r="F21" s="15"/>
      <c r="G21" s="114"/>
      <c r="H21" s="35"/>
      <c r="I21" s="41"/>
      <c r="J21" s="112"/>
      <c r="K21" s="37"/>
      <c r="L21" s="14">
        <f t="shared" si="2"/>
        <v>0</v>
      </c>
      <c r="M21" s="14">
        <f t="shared" si="3"/>
        <v>0</v>
      </c>
      <c r="N21" s="14">
        <f t="shared" si="4"/>
        <v>0</v>
      </c>
      <c r="O21" s="14" t="str">
        <f t="shared" si="0"/>
        <v/>
      </c>
      <c r="P21" s="34" t="e">
        <f t="shared" si="5"/>
        <v>#VALUE!</v>
      </c>
      <c r="Q21" s="33" t="e">
        <f t="shared" si="6"/>
        <v>#VALUE!</v>
      </c>
      <c r="R21" s="73">
        <v>0</v>
      </c>
      <c r="S21" s="122"/>
      <c r="T21" s="74">
        <v>0</v>
      </c>
      <c r="U21" s="75">
        <f t="shared" si="1"/>
        <v>0</v>
      </c>
      <c r="V21" s="76" t="e">
        <f t="shared" si="7"/>
        <v>#VALUE!</v>
      </c>
      <c r="W21" s="76" t="e">
        <f t="shared" si="8"/>
        <v>#VALUE!</v>
      </c>
      <c r="X21" s="77" t="e">
        <f t="shared" si="9"/>
        <v>#VALUE!</v>
      </c>
    </row>
    <row r="22" spans="1:24" s="48" customFormat="1" ht="14.25" x14ac:dyDescent="0.35">
      <c r="A22" s="17"/>
      <c r="B22" s="15"/>
      <c r="C22" s="13"/>
      <c r="D22" s="12"/>
      <c r="E22" s="12"/>
      <c r="F22" s="15"/>
      <c r="G22" s="114"/>
      <c r="H22" s="40"/>
      <c r="I22" s="41"/>
      <c r="J22" s="112"/>
      <c r="K22" s="37"/>
      <c r="L22" s="14">
        <f t="shared" si="2"/>
        <v>0</v>
      </c>
      <c r="M22" s="14">
        <f t="shared" si="3"/>
        <v>0</v>
      </c>
      <c r="N22" s="14">
        <f t="shared" si="4"/>
        <v>0</v>
      </c>
      <c r="O22" s="14" t="str">
        <f t="shared" si="0"/>
        <v/>
      </c>
      <c r="P22" s="34" t="e">
        <f t="shared" si="5"/>
        <v>#VALUE!</v>
      </c>
      <c r="Q22" s="33" t="e">
        <f t="shared" si="6"/>
        <v>#VALUE!</v>
      </c>
      <c r="R22" s="73">
        <v>0</v>
      </c>
      <c r="S22" s="122"/>
      <c r="T22" s="74">
        <v>0</v>
      </c>
      <c r="U22" s="75">
        <f t="shared" si="1"/>
        <v>0</v>
      </c>
      <c r="V22" s="76" t="e">
        <f t="shared" si="7"/>
        <v>#VALUE!</v>
      </c>
      <c r="W22" s="76" t="e">
        <f t="shared" si="8"/>
        <v>#VALUE!</v>
      </c>
      <c r="X22" s="77" t="e">
        <f t="shared" si="9"/>
        <v>#VALUE!</v>
      </c>
    </row>
    <row r="23" spans="1:24" s="48" customFormat="1" ht="14.25" x14ac:dyDescent="0.35">
      <c r="A23" s="17"/>
      <c r="B23" s="15"/>
      <c r="C23" s="13"/>
      <c r="D23" s="12"/>
      <c r="E23" s="12"/>
      <c r="F23" s="15"/>
      <c r="G23" s="114"/>
      <c r="H23" s="40"/>
      <c r="I23" s="41"/>
      <c r="J23" s="112"/>
      <c r="K23" s="37"/>
      <c r="L23" s="14">
        <f t="shared" si="2"/>
        <v>0</v>
      </c>
      <c r="M23" s="14">
        <f t="shared" si="3"/>
        <v>0</v>
      </c>
      <c r="N23" s="14">
        <f t="shared" si="4"/>
        <v>0</v>
      </c>
      <c r="O23" s="14" t="str">
        <f t="shared" si="0"/>
        <v/>
      </c>
      <c r="P23" s="34" t="e">
        <f t="shared" si="5"/>
        <v>#VALUE!</v>
      </c>
      <c r="Q23" s="33" t="e">
        <f t="shared" si="6"/>
        <v>#VALUE!</v>
      </c>
      <c r="R23" s="73">
        <v>0</v>
      </c>
      <c r="S23" s="122"/>
      <c r="T23" s="74">
        <v>0</v>
      </c>
      <c r="U23" s="75">
        <f t="shared" si="1"/>
        <v>0</v>
      </c>
      <c r="V23" s="76" t="e">
        <f t="shared" si="7"/>
        <v>#VALUE!</v>
      </c>
      <c r="W23" s="76" t="e">
        <f t="shared" si="8"/>
        <v>#VALUE!</v>
      </c>
      <c r="X23" s="77" t="e">
        <f t="shared" si="9"/>
        <v>#VALUE!</v>
      </c>
    </row>
    <row r="24" spans="1:24" s="48" customFormat="1" ht="14.25" x14ac:dyDescent="0.35">
      <c r="A24" s="17"/>
      <c r="B24" s="15"/>
      <c r="C24" s="13"/>
      <c r="D24" s="12"/>
      <c r="E24" s="12"/>
      <c r="F24" s="15"/>
      <c r="G24" s="114"/>
      <c r="H24" s="38"/>
      <c r="I24" s="36"/>
      <c r="J24" s="112"/>
      <c r="K24" s="37"/>
      <c r="L24" s="14">
        <f t="shared" si="2"/>
        <v>0</v>
      </c>
      <c r="M24" s="14">
        <f t="shared" si="3"/>
        <v>0</v>
      </c>
      <c r="N24" s="14">
        <f t="shared" si="4"/>
        <v>0</v>
      </c>
      <c r="O24" s="14" t="str">
        <f t="shared" si="0"/>
        <v/>
      </c>
      <c r="P24" s="34" t="e">
        <f t="shared" si="5"/>
        <v>#VALUE!</v>
      </c>
      <c r="Q24" s="33" t="e">
        <f t="shared" si="6"/>
        <v>#VALUE!</v>
      </c>
      <c r="R24" s="73">
        <v>0</v>
      </c>
      <c r="S24" s="122"/>
      <c r="T24" s="74">
        <v>0</v>
      </c>
      <c r="U24" s="75">
        <f t="shared" si="1"/>
        <v>0</v>
      </c>
      <c r="V24" s="76" t="e">
        <f t="shared" si="7"/>
        <v>#VALUE!</v>
      </c>
      <c r="W24" s="76" t="e">
        <f t="shared" si="8"/>
        <v>#VALUE!</v>
      </c>
      <c r="X24" s="77" t="e">
        <f t="shared" si="9"/>
        <v>#VALUE!</v>
      </c>
    </row>
    <row r="25" spans="1:24" s="48" customFormat="1" ht="14.25" x14ac:dyDescent="0.35">
      <c r="A25" s="17"/>
      <c r="B25" s="15" t="s">
        <v>50</v>
      </c>
      <c r="C25" s="13"/>
      <c r="D25" s="12"/>
      <c r="E25" s="12"/>
      <c r="F25" s="12"/>
      <c r="G25" s="114"/>
      <c r="H25" s="38"/>
      <c r="I25" s="36">
        <v>0</v>
      </c>
      <c r="J25" s="112"/>
      <c r="K25" s="37"/>
      <c r="L25" s="14">
        <f t="shared" si="2"/>
        <v>0</v>
      </c>
      <c r="M25" s="14">
        <f t="shared" si="3"/>
        <v>0</v>
      </c>
      <c r="N25" s="14">
        <f t="shared" si="4"/>
        <v>0</v>
      </c>
      <c r="O25" s="14" t="str">
        <f t="shared" si="0"/>
        <v/>
      </c>
      <c r="P25" s="34" t="e">
        <f t="shared" si="5"/>
        <v>#VALUE!</v>
      </c>
      <c r="Q25" s="33" t="e">
        <f t="shared" si="6"/>
        <v>#VALUE!</v>
      </c>
      <c r="R25" s="73">
        <v>0</v>
      </c>
      <c r="S25" s="122"/>
      <c r="T25" s="74">
        <v>0</v>
      </c>
      <c r="U25" s="75">
        <f t="shared" si="1"/>
        <v>0</v>
      </c>
      <c r="V25" s="76" t="e">
        <f t="shared" si="7"/>
        <v>#VALUE!</v>
      </c>
      <c r="W25" s="76" t="e">
        <f t="shared" si="8"/>
        <v>#VALUE!</v>
      </c>
      <c r="X25" s="77" t="e">
        <f t="shared" si="9"/>
        <v>#VALUE!</v>
      </c>
    </row>
    <row r="26" spans="1:24" s="48" customFormat="1" ht="14.25" x14ac:dyDescent="0.35">
      <c r="A26" s="17"/>
      <c r="B26" s="15" t="s">
        <v>50</v>
      </c>
      <c r="C26" s="13"/>
      <c r="D26" s="12"/>
      <c r="E26" s="12"/>
      <c r="F26" s="12"/>
      <c r="G26" s="114"/>
      <c r="H26" s="38"/>
      <c r="I26" s="36">
        <v>0</v>
      </c>
      <c r="J26" s="112"/>
      <c r="K26" s="37"/>
      <c r="L26" s="14">
        <f t="shared" si="2"/>
        <v>0</v>
      </c>
      <c r="M26" s="14">
        <f t="shared" si="3"/>
        <v>0</v>
      </c>
      <c r="N26" s="14">
        <f t="shared" si="4"/>
        <v>0</v>
      </c>
      <c r="O26" s="14" t="str">
        <f t="shared" si="0"/>
        <v/>
      </c>
      <c r="P26" s="34" t="e">
        <f t="shared" si="5"/>
        <v>#VALUE!</v>
      </c>
      <c r="Q26" s="33" t="e">
        <f t="shared" si="6"/>
        <v>#VALUE!</v>
      </c>
      <c r="R26" s="73">
        <v>0</v>
      </c>
      <c r="S26" s="122"/>
      <c r="T26" s="74">
        <v>0</v>
      </c>
      <c r="U26" s="75">
        <f t="shared" si="1"/>
        <v>0</v>
      </c>
      <c r="V26" s="76" t="e">
        <f t="shared" si="7"/>
        <v>#VALUE!</v>
      </c>
      <c r="W26" s="76" t="e">
        <f t="shared" si="8"/>
        <v>#VALUE!</v>
      </c>
      <c r="X26" s="77" t="e">
        <f t="shared" si="9"/>
        <v>#VALUE!</v>
      </c>
    </row>
    <row r="27" spans="1:24" s="48" customFormat="1" ht="14.25" x14ac:dyDescent="0.35">
      <c r="A27" s="17"/>
      <c r="B27" s="15" t="s">
        <v>50</v>
      </c>
      <c r="C27" s="13"/>
      <c r="D27" s="12"/>
      <c r="E27" s="12"/>
      <c r="F27" s="12"/>
      <c r="G27" s="114"/>
      <c r="H27" s="38"/>
      <c r="I27" s="36">
        <v>0</v>
      </c>
      <c r="J27" s="112"/>
      <c r="K27" s="37"/>
      <c r="L27" s="14">
        <f t="shared" si="2"/>
        <v>0</v>
      </c>
      <c r="M27" s="14">
        <f t="shared" si="3"/>
        <v>0</v>
      </c>
      <c r="N27" s="14">
        <f t="shared" si="4"/>
        <v>0</v>
      </c>
      <c r="O27" s="14" t="str">
        <f t="shared" si="0"/>
        <v/>
      </c>
      <c r="P27" s="34" t="e">
        <f t="shared" si="5"/>
        <v>#VALUE!</v>
      </c>
      <c r="Q27" s="33" t="e">
        <f t="shared" si="6"/>
        <v>#VALUE!</v>
      </c>
      <c r="R27" s="73">
        <v>0</v>
      </c>
      <c r="S27" s="122"/>
      <c r="T27" s="74">
        <v>0</v>
      </c>
      <c r="U27" s="75">
        <f t="shared" si="1"/>
        <v>0</v>
      </c>
      <c r="V27" s="76" t="e">
        <f t="shared" si="7"/>
        <v>#VALUE!</v>
      </c>
      <c r="W27" s="76" t="e">
        <f t="shared" si="8"/>
        <v>#VALUE!</v>
      </c>
      <c r="X27" s="77" t="e">
        <f t="shared" si="9"/>
        <v>#VALUE!</v>
      </c>
    </row>
    <row r="28" spans="1:24" s="48" customFormat="1" ht="14.25" x14ac:dyDescent="0.35">
      <c r="A28" s="17"/>
      <c r="B28" s="15" t="s">
        <v>50</v>
      </c>
      <c r="C28" s="13"/>
      <c r="D28" s="12"/>
      <c r="E28" s="12"/>
      <c r="F28" s="12"/>
      <c r="G28" s="114"/>
      <c r="H28" s="38"/>
      <c r="I28" s="36">
        <v>0</v>
      </c>
      <c r="J28" s="112"/>
      <c r="K28" s="37"/>
      <c r="L28" s="14">
        <f t="shared" si="2"/>
        <v>0</v>
      </c>
      <c r="M28" s="14">
        <f t="shared" si="3"/>
        <v>0</v>
      </c>
      <c r="N28" s="14">
        <f t="shared" si="4"/>
        <v>0</v>
      </c>
      <c r="O28" s="14" t="str">
        <f t="shared" si="0"/>
        <v/>
      </c>
      <c r="P28" s="34" t="e">
        <f t="shared" si="5"/>
        <v>#VALUE!</v>
      </c>
      <c r="Q28" s="33" t="e">
        <f t="shared" si="6"/>
        <v>#VALUE!</v>
      </c>
      <c r="R28" s="73">
        <v>0</v>
      </c>
      <c r="S28" s="122"/>
      <c r="T28" s="74">
        <v>0</v>
      </c>
      <c r="U28" s="75">
        <f t="shared" si="1"/>
        <v>0</v>
      </c>
      <c r="V28" s="76" t="e">
        <f t="shared" si="7"/>
        <v>#VALUE!</v>
      </c>
      <c r="W28" s="76" t="e">
        <f t="shared" si="8"/>
        <v>#VALUE!</v>
      </c>
      <c r="X28" s="77" t="e">
        <f t="shared" si="9"/>
        <v>#VALUE!</v>
      </c>
    </row>
    <row r="29" spans="1:24" s="48" customFormat="1" ht="14.25" x14ac:dyDescent="0.35">
      <c r="A29" s="17"/>
      <c r="B29" s="15" t="s">
        <v>50</v>
      </c>
      <c r="C29" s="13"/>
      <c r="D29" s="12"/>
      <c r="E29" s="12"/>
      <c r="F29" s="12"/>
      <c r="G29" s="114"/>
      <c r="H29" s="38"/>
      <c r="I29" s="36">
        <v>0</v>
      </c>
      <c r="J29" s="112"/>
      <c r="K29" s="37"/>
      <c r="L29" s="14">
        <f t="shared" si="2"/>
        <v>0</v>
      </c>
      <c r="M29" s="14">
        <f t="shared" si="3"/>
        <v>0</v>
      </c>
      <c r="N29" s="14">
        <f t="shared" si="4"/>
        <v>0</v>
      </c>
      <c r="O29" s="14" t="str">
        <f t="shared" si="0"/>
        <v/>
      </c>
      <c r="P29" s="34" t="e">
        <f t="shared" si="5"/>
        <v>#VALUE!</v>
      </c>
      <c r="Q29" s="33" t="e">
        <f t="shared" si="6"/>
        <v>#VALUE!</v>
      </c>
      <c r="R29" s="73">
        <v>0</v>
      </c>
      <c r="S29" s="122"/>
      <c r="T29" s="74">
        <v>0</v>
      </c>
      <c r="U29" s="75">
        <f t="shared" si="1"/>
        <v>0</v>
      </c>
      <c r="V29" s="76" t="e">
        <f t="shared" si="7"/>
        <v>#VALUE!</v>
      </c>
      <c r="W29" s="76" t="e">
        <f t="shared" si="8"/>
        <v>#VALUE!</v>
      </c>
      <c r="X29" s="77" t="e">
        <f t="shared" si="9"/>
        <v>#VALUE!</v>
      </c>
    </row>
    <row r="30" spans="1:24" s="48" customFormat="1" ht="14.25" x14ac:dyDescent="0.35">
      <c r="A30" s="17"/>
      <c r="B30" s="15" t="s">
        <v>50</v>
      </c>
      <c r="C30" s="13"/>
      <c r="D30" s="12"/>
      <c r="E30" s="12"/>
      <c r="F30" s="12"/>
      <c r="G30" s="114"/>
      <c r="H30" s="38"/>
      <c r="I30" s="36">
        <v>0</v>
      </c>
      <c r="J30" s="112"/>
      <c r="K30" s="37"/>
      <c r="L30" s="14">
        <f t="shared" si="2"/>
        <v>0</v>
      </c>
      <c r="M30" s="14">
        <f t="shared" si="3"/>
        <v>0</v>
      </c>
      <c r="N30" s="14">
        <f t="shared" si="4"/>
        <v>0</v>
      </c>
      <c r="O30" s="14" t="str">
        <f t="shared" si="0"/>
        <v/>
      </c>
      <c r="P30" s="34" t="e">
        <f t="shared" si="5"/>
        <v>#VALUE!</v>
      </c>
      <c r="Q30" s="33" t="e">
        <f t="shared" si="6"/>
        <v>#VALUE!</v>
      </c>
      <c r="R30" s="73">
        <v>0</v>
      </c>
      <c r="S30" s="122"/>
      <c r="T30" s="74">
        <v>0</v>
      </c>
      <c r="U30" s="75">
        <f t="shared" si="1"/>
        <v>0</v>
      </c>
      <c r="V30" s="76" t="e">
        <f t="shared" si="7"/>
        <v>#VALUE!</v>
      </c>
      <c r="W30" s="76" t="e">
        <f t="shared" si="8"/>
        <v>#VALUE!</v>
      </c>
      <c r="X30" s="77" t="e">
        <f t="shared" si="9"/>
        <v>#VALUE!</v>
      </c>
    </row>
    <row r="31" spans="1:24" s="48" customFormat="1" ht="14.25" x14ac:dyDescent="0.35">
      <c r="A31" s="17"/>
      <c r="B31" s="15" t="s">
        <v>50</v>
      </c>
      <c r="C31" s="13"/>
      <c r="D31" s="12"/>
      <c r="E31" s="12"/>
      <c r="F31" s="12"/>
      <c r="G31" s="114"/>
      <c r="H31" s="38"/>
      <c r="I31" s="36">
        <v>0</v>
      </c>
      <c r="J31" s="112"/>
      <c r="K31" s="37"/>
      <c r="L31" s="14">
        <f t="shared" si="2"/>
        <v>0</v>
      </c>
      <c r="M31" s="14">
        <f t="shared" si="3"/>
        <v>0</v>
      </c>
      <c r="N31" s="14">
        <f t="shared" si="4"/>
        <v>0</v>
      </c>
      <c r="O31" s="14" t="str">
        <f t="shared" si="0"/>
        <v/>
      </c>
      <c r="P31" s="34" t="e">
        <f t="shared" si="5"/>
        <v>#VALUE!</v>
      </c>
      <c r="Q31" s="33" t="e">
        <f t="shared" si="6"/>
        <v>#VALUE!</v>
      </c>
      <c r="R31" s="73">
        <v>0</v>
      </c>
      <c r="S31" s="122"/>
      <c r="T31" s="74">
        <v>0</v>
      </c>
      <c r="U31" s="75">
        <f t="shared" si="1"/>
        <v>0</v>
      </c>
      <c r="V31" s="76" t="e">
        <f t="shared" si="7"/>
        <v>#VALUE!</v>
      </c>
      <c r="W31" s="76" t="e">
        <f t="shared" si="8"/>
        <v>#VALUE!</v>
      </c>
      <c r="X31" s="77" t="e">
        <f t="shared" si="9"/>
        <v>#VALUE!</v>
      </c>
    </row>
    <row r="32" spans="1:24" s="48" customFormat="1" ht="14.25" x14ac:dyDescent="0.35">
      <c r="A32" s="17"/>
      <c r="B32" s="15" t="s">
        <v>50</v>
      </c>
      <c r="C32" s="13"/>
      <c r="D32" s="12"/>
      <c r="E32" s="12"/>
      <c r="F32" s="12"/>
      <c r="G32" s="114"/>
      <c r="H32" s="38"/>
      <c r="I32" s="36">
        <v>0</v>
      </c>
      <c r="J32" s="127"/>
      <c r="K32" s="37"/>
      <c r="L32" s="14">
        <f t="shared" si="2"/>
        <v>0</v>
      </c>
      <c r="M32" s="14">
        <f t="shared" si="3"/>
        <v>0</v>
      </c>
      <c r="N32" s="14">
        <f t="shared" si="4"/>
        <v>0</v>
      </c>
      <c r="O32" s="14" t="str">
        <f t="shared" si="0"/>
        <v/>
      </c>
      <c r="P32" s="34" t="e">
        <f t="shared" si="5"/>
        <v>#VALUE!</v>
      </c>
      <c r="Q32" s="33" t="e">
        <f t="shared" si="6"/>
        <v>#VALUE!</v>
      </c>
      <c r="R32" s="73">
        <v>0</v>
      </c>
      <c r="S32" s="122"/>
      <c r="T32" s="74">
        <v>0</v>
      </c>
      <c r="U32" s="75">
        <f t="shared" si="1"/>
        <v>0</v>
      </c>
      <c r="V32" s="76" t="e">
        <f t="shared" si="7"/>
        <v>#VALUE!</v>
      </c>
      <c r="W32" s="76" t="e">
        <f t="shared" si="8"/>
        <v>#VALUE!</v>
      </c>
      <c r="X32" s="77" t="e">
        <f t="shared" si="9"/>
        <v>#VALUE!</v>
      </c>
    </row>
    <row r="33" spans="1:24" s="48" customFormat="1" ht="14.25" x14ac:dyDescent="0.35">
      <c r="A33" s="17"/>
      <c r="B33" s="15" t="s">
        <v>50</v>
      </c>
      <c r="C33" s="13"/>
      <c r="D33" s="12"/>
      <c r="E33" s="12"/>
      <c r="F33" s="12"/>
      <c r="G33" s="114"/>
      <c r="H33" s="38"/>
      <c r="I33" s="36">
        <v>0</v>
      </c>
      <c r="J33" s="112"/>
      <c r="K33" s="37"/>
      <c r="L33" s="14">
        <f t="shared" si="2"/>
        <v>0</v>
      </c>
      <c r="M33" s="14">
        <f t="shared" si="3"/>
        <v>0</v>
      </c>
      <c r="N33" s="14">
        <f t="shared" si="4"/>
        <v>0</v>
      </c>
      <c r="O33" s="14" t="str">
        <f t="shared" si="0"/>
        <v/>
      </c>
      <c r="P33" s="34" t="e">
        <f t="shared" si="5"/>
        <v>#VALUE!</v>
      </c>
      <c r="Q33" s="33" t="e">
        <f t="shared" si="6"/>
        <v>#VALUE!</v>
      </c>
      <c r="R33" s="73">
        <v>0</v>
      </c>
      <c r="S33" s="122"/>
      <c r="T33" s="74">
        <v>0</v>
      </c>
      <c r="U33" s="75">
        <f t="shared" si="1"/>
        <v>0</v>
      </c>
      <c r="V33" s="76" t="e">
        <f t="shared" si="7"/>
        <v>#VALUE!</v>
      </c>
      <c r="W33" s="76" t="e">
        <f t="shared" si="8"/>
        <v>#VALUE!</v>
      </c>
      <c r="X33" s="77" t="e">
        <f t="shared" si="9"/>
        <v>#VALUE!</v>
      </c>
    </row>
    <row r="34" spans="1:24" s="48" customFormat="1" ht="14.25" x14ac:dyDescent="0.35">
      <c r="A34" s="17"/>
      <c r="B34" s="15" t="s">
        <v>50</v>
      </c>
      <c r="C34" s="13"/>
      <c r="D34" s="12"/>
      <c r="E34" s="12"/>
      <c r="F34" s="15"/>
      <c r="G34" s="114"/>
      <c r="H34" s="38"/>
      <c r="I34" s="36">
        <v>0</v>
      </c>
      <c r="J34" s="112"/>
      <c r="K34" s="37"/>
      <c r="L34" s="14">
        <f t="shared" si="2"/>
        <v>0</v>
      </c>
      <c r="M34" s="14">
        <f t="shared" si="3"/>
        <v>0</v>
      </c>
      <c r="N34" s="14">
        <f t="shared" si="4"/>
        <v>0</v>
      </c>
      <c r="O34" s="14" t="str">
        <f t="shared" si="0"/>
        <v/>
      </c>
      <c r="P34" s="34" t="e">
        <f t="shared" si="5"/>
        <v>#VALUE!</v>
      </c>
      <c r="Q34" s="33" t="e">
        <f t="shared" si="6"/>
        <v>#VALUE!</v>
      </c>
      <c r="R34" s="73">
        <v>0</v>
      </c>
      <c r="S34" s="122"/>
      <c r="T34" s="74">
        <v>0</v>
      </c>
      <c r="U34" s="75">
        <f t="shared" si="1"/>
        <v>0</v>
      </c>
      <c r="V34" s="76" t="e">
        <f t="shared" si="7"/>
        <v>#VALUE!</v>
      </c>
      <c r="W34" s="76" t="e">
        <f t="shared" si="8"/>
        <v>#VALUE!</v>
      </c>
      <c r="X34" s="77" t="e">
        <f t="shared" si="9"/>
        <v>#VALUE!</v>
      </c>
    </row>
    <row r="35" spans="1:24" s="48" customFormat="1" ht="14.25" x14ac:dyDescent="0.35">
      <c r="A35" s="17"/>
      <c r="B35" s="15" t="s">
        <v>50</v>
      </c>
      <c r="C35" s="13"/>
      <c r="D35" s="12"/>
      <c r="E35" s="12"/>
      <c r="F35" s="15"/>
      <c r="G35" s="114"/>
      <c r="H35" s="38"/>
      <c r="I35" s="36">
        <v>0</v>
      </c>
      <c r="J35" s="112"/>
      <c r="K35" s="37"/>
      <c r="L35" s="14">
        <f t="shared" si="2"/>
        <v>0</v>
      </c>
      <c r="M35" s="14">
        <f t="shared" si="3"/>
        <v>0</v>
      </c>
      <c r="N35" s="14">
        <f t="shared" si="4"/>
        <v>0</v>
      </c>
      <c r="O35" s="14" t="str">
        <f t="shared" si="0"/>
        <v/>
      </c>
      <c r="P35" s="34" t="e">
        <f t="shared" si="5"/>
        <v>#VALUE!</v>
      </c>
      <c r="Q35" s="33" t="e">
        <f t="shared" si="6"/>
        <v>#VALUE!</v>
      </c>
      <c r="R35" s="73">
        <v>0</v>
      </c>
      <c r="S35" s="122"/>
      <c r="T35" s="74">
        <v>0</v>
      </c>
      <c r="U35" s="75">
        <f t="shared" si="1"/>
        <v>0</v>
      </c>
      <c r="V35" s="76" t="e">
        <f t="shared" si="7"/>
        <v>#VALUE!</v>
      </c>
      <c r="W35" s="76" t="e">
        <f t="shared" si="8"/>
        <v>#VALUE!</v>
      </c>
      <c r="X35" s="77" t="e">
        <f t="shared" si="9"/>
        <v>#VALUE!</v>
      </c>
    </row>
    <row r="36" spans="1:24" s="48" customFormat="1" ht="14.25" x14ac:dyDescent="0.35">
      <c r="A36" s="17"/>
      <c r="B36" s="15" t="s">
        <v>50</v>
      </c>
      <c r="C36" s="13"/>
      <c r="D36" s="12"/>
      <c r="E36" s="12"/>
      <c r="F36" s="15"/>
      <c r="G36" s="114"/>
      <c r="H36" s="38"/>
      <c r="I36" s="36">
        <v>0</v>
      </c>
      <c r="J36" s="112"/>
      <c r="K36" s="37"/>
      <c r="L36" s="14">
        <f t="shared" si="2"/>
        <v>0</v>
      </c>
      <c r="M36" s="14">
        <f t="shared" si="3"/>
        <v>0</v>
      </c>
      <c r="N36" s="14">
        <f t="shared" si="4"/>
        <v>0</v>
      </c>
      <c r="O36" s="14" t="str">
        <f t="shared" si="0"/>
        <v/>
      </c>
      <c r="P36" s="34" t="e">
        <f t="shared" si="5"/>
        <v>#VALUE!</v>
      </c>
      <c r="Q36" s="33" t="e">
        <f t="shared" si="6"/>
        <v>#VALUE!</v>
      </c>
      <c r="R36" s="73">
        <v>0</v>
      </c>
      <c r="S36" s="122"/>
      <c r="T36" s="74">
        <v>0</v>
      </c>
      <c r="U36" s="75">
        <f t="shared" si="1"/>
        <v>0</v>
      </c>
      <c r="V36" s="76" t="e">
        <f t="shared" si="7"/>
        <v>#VALUE!</v>
      </c>
      <c r="W36" s="76" t="e">
        <f t="shared" si="8"/>
        <v>#VALUE!</v>
      </c>
      <c r="X36" s="77" t="e">
        <f t="shared" si="9"/>
        <v>#VALUE!</v>
      </c>
    </row>
    <row r="37" spans="1:24" s="48" customFormat="1" ht="14.25" x14ac:dyDescent="0.35">
      <c r="A37" s="17"/>
      <c r="B37" s="15" t="s">
        <v>50</v>
      </c>
      <c r="C37" s="13"/>
      <c r="D37" s="12"/>
      <c r="E37" s="12"/>
      <c r="F37" s="12"/>
      <c r="G37" s="114"/>
      <c r="H37" s="38"/>
      <c r="I37" s="36">
        <v>0</v>
      </c>
      <c r="J37" s="112"/>
      <c r="K37" s="37"/>
      <c r="L37" s="14">
        <f t="shared" si="2"/>
        <v>0</v>
      </c>
      <c r="M37" s="14">
        <f t="shared" si="3"/>
        <v>0</v>
      </c>
      <c r="N37" s="14">
        <f t="shared" si="4"/>
        <v>0</v>
      </c>
      <c r="O37" s="14" t="str">
        <f t="shared" si="0"/>
        <v/>
      </c>
      <c r="P37" s="34" t="e">
        <f t="shared" si="5"/>
        <v>#VALUE!</v>
      </c>
      <c r="Q37" s="33" t="e">
        <f t="shared" si="6"/>
        <v>#VALUE!</v>
      </c>
      <c r="R37" s="73">
        <v>0</v>
      </c>
      <c r="S37" s="122"/>
      <c r="T37" s="74">
        <v>0</v>
      </c>
      <c r="U37" s="75">
        <f t="shared" si="1"/>
        <v>0</v>
      </c>
      <c r="V37" s="76" t="e">
        <f t="shared" si="7"/>
        <v>#VALUE!</v>
      </c>
      <c r="W37" s="76" t="e">
        <f t="shared" si="8"/>
        <v>#VALUE!</v>
      </c>
      <c r="X37" s="77" t="e">
        <f t="shared" si="9"/>
        <v>#VALUE!</v>
      </c>
    </row>
    <row r="38" spans="1:24" s="48" customFormat="1" ht="14.25" x14ac:dyDescent="0.35">
      <c r="A38" s="17"/>
      <c r="B38" s="15" t="s">
        <v>50</v>
      </c>
      <c r="C38" s="13"/>
      <c r="D38" s="12"/>
      <c r="E38" s="12"/>
      <c r="F38" s="12"/>
      <c r="G38" s="114"/>
      <c r="H38" s="38"/>
      <c r="I38" s="36">
        <v>0</v>
      </c>
      <c r="J38" s="112"/>
      <c r="K38" s="37"/>
      <c r="L38" s="14">
        <f t="shared" si="2"/>
        <v>0</v>
      </c>
      <c r="M38" s="14">
        <f t="shared" si="3"/>
        <v>0</v>
      </c>
      <c r="N38" s="14">
        <f t="shared" si="4"/>
        <v>0</v>
      </c>
      <c r="O38" s="14" t="str">
        <f t="shared" si="0"/>
        <v/>
      </c>
      <c r="P38" s="34" t="e">
        <f t="shared" si="5"/>
        <v>#VALUE!</v>
      </c>
      <c r="Q38" s="33" t="e">
        <f t="shared" si="6"/>
        <v>#VALUE!</v>
      </c>
      <c r="R38" s="73">
        <v>0</v>
      </c>
      <c r="S38" s="122"/>
      <c r="T38" s="74">
        <v>0</v>
      </c>
      <c r="U38" s="75">
        <f t="shared" si="1"/>
        <v>0</v>
      </c>
      <c r="V38" s="76" t="e">
        <f t="shared" si="7"/>
        <v>#VALUE!</v>
      </c>
      <c r="W38" s="76" t="e">
        <f t="shared" si="8"/>
        <v>#VALUE!</v>
      </c>
      <c r="X38" s="77" t="e">
        <f t="shared" si="9"/>
        <v>#VALUE!</v>
      </c>
    </row>
    <row r="39" spans="1:24" s="48" customFormat="1" ht="14.25" x14ac:dyDescent="0.35">
      <c r="A39" s="17"/>
      <c r="B39" s="15" t="s">
        <v>50</v>
      </c>
      <c r="C39" s="13"/>
      <c r="D39" s="12"/>
      <c r="E39" s="12"/>
      <c r="F39" s="12"/>
      <c r="G39" s="114"/>
      <c r="H39" s="38"/>
      <c r="I39" s="36">
        <v>0</v>
      </c>
      <c r="J39" s="112"/>
      <c r="K39" s="37"/>
      <c r="L39" s="14">
        <f t="shared" si="2"/>
        <v>0</v>
      </c>
      <c r="M39" s="14">
        <f t="shared" si="3"/>
        <v>0</v>
      </c>
      <c r="N39" s="14">
        <f t="shared" si="4"/>
        <v>0</v>
      </c>
      <c r="O39" s="14" t="str">
        <f t="shared" si="0"/>
        <v/>
      </c>
      <c r="P39" s="34" t="e">
        <f t="shared" si="5"/>
        <v>#VALUE!</v>
      </c>
      <c r="Q39" s="33" t="e">
        <f t="shared" si="6"/>
        <v>#VALUE!</v>
      </c>
      <c r="R39" s="73">
        <v>0</v>
      </c>
      <c r="S39" s="122"/>
      <c r="T39" s="74">
        <v>0</v>
      </c>
      <c r="U39" s="75">
        <f t="shared" si="1"/>
        <v>0</v>
      </c>
      <c r="V39" s="76" t="e">
        <f t="shared" si="7"/>
        <v>#VALUE!</v>
      </c>
      <c r="W39" s="76" t="e">
        <f t="shared" si="8"/>
        <v>#VALUE!</v>
      </c>
      <c r="X39" s="77" t="e">
        <f t="shared" si="9"/>
        <v>#VALUE!</v>
      </c>
    </row>
    <row r="40" spans="1:24" s="48" customFormat="1" ht="14.25" x14ac:dyDescent="0.35">
      <c r="A40" s="17"/>
      <c r="B40" s="15" t="s">
        <v>50</v>
      </c>
      <c r="C40" s="13"/>
      <c r="D40" s="12"/>
      <c r="E40" s="12"/>
      <c r="F40" s="12"/>
      <c r="G40" s="114"/>
      <c r="H40" s="38"/>
      <c r="I40" s="36">
        <v>0</v>
      </c>
      <c r="J40" s="112"/>
      <c r="K40" s="37"/>
      <c r="L40" s="14">
        <f t="shared" si="2"/>
        <v>0</v>
      </c>
      <c r="M40" s="14">
        <f t="shared" si="3"/>
        <v>0</v>
      </c>
      <c r="N40" s="14">
        <f t="shared" si="4"/>
        <v>0</v>
      </c>
      <c r="O40" s="14" t="str">
        <f t="shared" si="0"/>
        <v/>
      </c>
      <c r="P40" s="34" t="e">
        <f t="shared" si="5"/>
        <v>#VALUE!</v>
      </c>
      <c r="Q40" s="33" t="e">
        <f t="shared" si="6"/>
        <v>#VALUE!</v>
      </c>
      <c r="R40" s="73">
        <v>0</v>
      </c>
      <c r="S40" s="122"/>
      <c r="T40" s="74">
        <v>0</v>
      </c>
      <c r="U40" s="75">
        <f t="shared" si="1"/>
        <v>0</v>
      </c>
      <c r="V40" s="76" t="e">
        <f t="shared" si="7"/>
        <v>#VALUE!</v>
      </c>
      <c r="W40" s="76" t="e">
        <f t="shared" si="8"/>
        <v>#VALUE!</v>
      </c>
      <c r="X40" s="77" t="e">
        <f t="shared" si="9"/>
        <v>#VALUE!</v>
      </c>
    </row>
    <row r="41" spans="1:24" s="48" customFormat="1" ht="14.25" x14ac:dyDescent="0.35">
      <c r="A41" s="17"/>
      <c r="B41" s="15" t="s">
        <v>50</v>
      </c>
      <c r="C41" s="13"/>
      <c r="D41" s="12"/>
      <c r="E41" s="12"/>
      <c r="F41" s="12"/>
      <c r="G41" s="114"/>
      <c r="H41" s="38"/>
      <c r="I41" s="36">
        <v>0</v>
      </c>
      <c r="J41" s="112"/>
      <c r="K41" s="37"/>
      <c r="L41" s="14">
        <f t="shared" si="2"/>
        <v>0</v>
      </c>
      <c r="M41" s="14">
        <f t="shared" si="3"/>
        <v>0</v>
      </c>
      <c r="N41" s="14">
        <f t="shared" si="4"/>
        <v>0</v>
      </c>
      <c r="O41" s="14" t="str">
        <f t="shared" si="0"/>
        <v/>
      </c>
      <c r="P41" s="34" t="e">
        <f t="shared" si="5"/>
        <v>#VALUE!</v>
      </c>
      <c r="Q41" s="33" t="e">
        <f t="shared" si="6"/>
        <v>#VALUE!</v>
      </c>
      <c r="R41" s="73">
        <v>0</v>
      </c>
      <c r="S41" s="122"/>
      <c r="T41" s="74">
        <v>0</v>
      </c>
      <c r="U41" s="75">
        <f t="shared" si="1"/>
        <v>0</v>
      </c>
      <c r="V41" s="76" t="e">
        <f t="shared" si="7"/>
        <v>#VALUE!</v>
      </c>
      <c r="W41" s="76" t="e">
        <f t="shared" si="8"/>
        <v>#VALUE!</v>
      </c>
      <c r="X41" s="77" t="e">
        <f t="shared" si="9"/>
        <v>#VALUE!</v>
      </c>
    </row>
    <row r="42" spans="1:24" s="48" customFormat="1" ht="14.25" x14ac:dyDescent="0.35">
      <c r="A42" s="17"/>
      <c r="B42" s="15" t="s">
        <v>50</v>
      </c>
      <c r="C42" s="13"/>
      <c r="D42" s="12"/>
      <c r="E42" s="12"/>
      <c r="F42" s="12"/>
      <c r="G42" s="114"/>
      <c r="H42" s="38"/>
      <c r="I42" s="36">
        <v>0</v>
      </c>
      <c r="J42" s="112"/>
      <c r="K42" s="37"/>
      <c r="L42" s="14">
        <f t="shared" si="2"/>
        <v>0</v>
      </c>
      <c r="M42" s="14">
        <f t="shared" si="3"/>
        <v>0</v>
      </c>
      <c r="N42" s="14">
        <f t="shared" si="4"/>
        <v>0</v>
      </c>
      <c r="O42" s="14" t="str">
        <f t="shared" si="0"/>
        <v/>
      </c>
      <c r="P42" s="34" t="e">
        <f t="shared" si="5"/>
        <v>#VALUE!</v>
      </c>
      <c r="Q42" s="33" t="e">
        <f t="shared" si="6"/>
        <v>#VALUE!</v>
      </c>
      <c r="R42" s="73">
        <v>0</v>
      </c>
      <c r="S42" s="122"/>
      <c r="T42" s="74">
        <v>0</v>
      </c>
      <c r="U42" s="75">
        <f t="shared" si="1"/>
        <v>0</v>
      </c>
      <c r="V42" s="76" t="e">
        <f t="shared" si="7"/>
        <v>#VALUE!</v>
      </c>
      <c r="W42" s="76" t="e">
        <f t="shared" si="8"/>
        <v>#VALUE!</v>
      </c>
      <c r="X42" s="77" t="e">
        <f t="shared" si="9"/>
        <v>#VALUE!</v>
      </c>
    </row>
    <row r="43" spans="1:24" s="48" customFormat="1" ht="14.25" x14ac:dyDescent="0.35">
      <c r="A43" s="17"/>
      <c r="B43" s="15" t="s">
        <v>50</v>
      </c>
      <c r="C43" s="13"/>
      <c r="D43" s="12"/>
      <c r="E43" s="12"/>
      <c r="F43" s="12"/>
      <c r="G43" s="114"/>
      <c r="H43" s="38"/>
      <c r="I43" s="36">
        <v>0</v>
      </c>
      <c r="J43" s="112"/>
      <c r="K43" s="37"/>
      <c r="L43" s="14">
        <f t="shared" si="2"/>
        <v>0</v>
      </c>
      <c r="M43" s="14">
        <f t="shared" si="3"/>
        <v>0</v>
      </c>
      <c r="N43" s="14">
        <f t="shared" si="4"/>
        <v>0</v>
      </c>
      <c r="O43" s="14" t="str">
        <f t="shared" si="0"/>
        <v/>
      </c>
      <c r="P43" s="34" t="e">
        <f t="shared" si="5"/>
        <v>#VALUE!</v>
      </c>
      <c r="Q43" s="33" t="e">
        <f t="shared" si="6"/>
        <v>#VALUE!</v>
      </c>
      <c r="R43" s="73">
        <v>0</v>
      </c>
      <c r="S43" s="122"/>
      <c r="T43" s="74">
        <v>0</v>
      </c>
      <c r="U43" s="75">
        <f t="shared" si="1"/>
        <v>0</v>
      </c>
      <c r="V43" s="76" t="e">
        <f t="shared" si="7"/>
        <v>#VALUE!</v>
      </c>
      <c r="W43" s="76" t="e">
        <f t="shared" si="8"/>
        <v>#VALUE!</v>
      </c>
      <c r="X43" s="77" t="e">
        <f t="shared" si="9"/>
        <v>#VALUE!</v>
      </c>
    </row>
    <row r="44" spans="1:24" s="48" customFormat="1" ht="14.25" x14ac:dyDescent="0.35">
      <c r="A44" s="17"/>
      <c r="B44" s="15" t="s">
        <v>50</v>
      </c>
      <c r="C44" s="13"/>
      <c r="D44" s="12"/>
      <c r="E44" s="12"/>
      <c r="F44" s="12"/>
      <c r="G44" s="114"/>
      <c r="H44" s="38"/>
      <c r="I44" s="36">
        <v>0</v>
      </c>
      <c r="J44" s="112"/>
      <c r="K44" s="37"/>
      <c r="L44" s="14">
        <f t="shared" si="2"/>
        <v>0</v>
      </c>
      <c r="M44" s="14">
        <f t="shared" si="3"/>
        <v>0</v>
      </c>
      <c r="N44" s="14">
        <f t="shared" si="4"/>
        <v>0</v>
      </c>
      <c r="O44" s="14" t="str">
        <f t="shared" si="0"/>
        <v/>
      </c>
      <c r="P44" s="34" t="e">
        <f t="shared" si="5"/>
        <v>#VALUE!</v>
      </c>
      <c r="Q44" s="33" t="e">
        <f t="shared" si="6"/>
        <v>#VALUE!</v>
      </c>
      <c r="R44" s="73">
        <v>0</v>
      </c>
      <c r="S44" s="122"/>
      <c r="T44" s="74">
        <v>0</v>
      </c>
      <c r="U44" s="75">
        <f t="shared" si="1"/>
        <v>0</v>
      </c>
      <c r="V44" s="76" t="e">
        <f t="shared" si="7"/>
        <v>#VALUE!</v>
      </c>
      <c r="W44" s="76" t="e">
        <f t="shared" si="8"/>
        <v>#VALUE!</v>
      </c>
      <c r="X44" s="77" t="e">
        <f t="shared" si="9"/>
        <v>#VALUE!</v>
      </c>
    </row>
    <row r="45" spans="1:24" s="48" customFormat="1" ht="14.25" x14ac:dyDescent="0.35">
      <c r="A45" s="17"/>
      <c r="B45" s="15" t="s">
        <v>50</v>
      </c>
      <c r="C45" s="13"/>
      <c r="D45" s="12"/>
      <c r="E45" s="12"/>
      <c r="F45" s="12"/>
      <c r="G45" s="114"/>
      <c r="H45" s="38"/>
      <c r="I45" s="36">
        <v>0</v>
      </c>
      <c r="J45" s="112"/>
      <c r="K45" s="37"/>
      <c r="L45" s="14">
        <f t="shared" si="2"/>
        <v>0</v>
      </c>
      <c r="M45" s="14">
        <f t="shared" si="3"/>
        <v>0</v>
      </c>
      <c r="N45" s="14">
        <f t="shared" si="4"/>
        <v>0</v>
      </c>
      <c r="O45" s="14" t="str">
        <f t="shared" si="0"/>
        <v/>
      </c>
      <c r="P45" s="34" t="e">
        <f t="shared" si="5"/>
        <v>#VALUE!</v>
      </c>
      <c r="Q45" s="33" t="e">
        <f t="shared" si="6"/>
        <v>#VALUE!</v>
      </c>
      <c r="R45" s="73">
        <v>0</v>
      </c>
      <c r="S45" s="122"/>
      <c r="T45" s="74">
        <v>0</v>
      </c>
      <c r="U45" s="75">
        <f t="shared" si="1"/>
        <v>0</v>
      </c>
      <c r="V45" s="76" t="e">
        <f t="shared" si="7"/>
        <v>#VALUE!</v>
      </c>
      <c r="W45" s="76" t="e">
        <f t="shared" si="8"/>
        <v>#VALUE!</v>
      </c>
      <c r="X45" s="77" t="e">
        <f t="shared" si="9"/>
        <v>#VALUE!</v>
      </c>
    </row>
    <row r="46" spans="1:24" s="48" customFormat="1" ht="14.25" x14ac:dyDescent="0.35">
      <c r="A46" s="17"/>
      <c r="B46" s="15" t="s">
        <v>50</v>
      </c>
      <c r="C46" s="13"/>
      <c r="D46" s="12"/>
      <c r="E46" s="12"/>
      <c r="F46" s="12"/>
      <c r="G46" s="114"/>
      <c r="H46" s="38"/>
      <c r="I46" s="36">
        <v>0</v>
      </c>
      <c r="J46" s="112"/>
      <c r="K46" s="37"/>
      <c r="L46" s="14">
        <f t="shared" si="2"/>
        <v>0</v>
      </c>
      <c r="M46" s="14">
        <f t="shared" si="3"/>
        <v>0</v>
      </c>
      <c r="N46" s="14">
        <f t="shared" si="4"/>
        <v>0</v>
      </c>
      <c r="O46" s="14" t="str">
        <f t="shared" si="0"/>
        <v/>
      </c>
      <c r="P46" s="34" t="e">
        <f t="shared" si="5"/>
        <v>#VALUE!</v>
      </c>
      <c r="Q46" s="33" t="e">
        <f t="shared" si="6"/>
        <v>#VALUE!</v>
      </c>
      <c r="R46" s="73">
        <v>0</v>
      </c>
      <c r="S46" s="122"/>
      <c r="T46" s="74">
        <v>0</v>
      </c>
      <c r="U46" s="75">
        <f t="shared" si="1"/>
        <v>0</v>
      </c>
      <c r="V46" s="76" t="e">
        <f t="shared" si="7"/>
        <v>#VALUE!</v>
      </c>
      <c r="W46" s="76" t="e">
        <f t="shared" si="8"/>
        <v>#VALUE!</v>
      </c>
      <c r="X46" s="77" t="e">
        <f t="shared" si="9"/>
        <v>#VALUE!</v>
      </c>
    </row>
    <row r="47" spans="1:24" s="48" customFormat="1" ht="14.25" x14ac:dyDescent="0.35">
      <c r="A47" s="17"/>
      <c r="B47" s="15" t="s">
        <v>50</v>
      </c>
      <c r="C47" s="13"/>
      <c r="D47" s="12"/>
      <c r="E47" s="12"/>
      <c r="F47" s="12"/>
      <c r="G47" s="114"/>
      <c r="H47" s="38"/>
      <c r="I47" s="36">
        <v>0</v>
      </c>
      <c r="J47" s="112"/>
      <c r="K47" s="37"/>
      <c r="L47" s="14">
        <f t="shared" si="2"/>
        <v>0</v>
      </c>
      <c r="M47" s="14">
        <f t="shared" si="3"/>
        <v>0</v>
      </c>
      <c r="N47" s="14">
        <f t="shared" si="4"/>
        <v>0</v>
      </c>
      <c r="O47" s="14" t="str">
        <f t="shared" si="0"/>
        <v/>
      </c>
      <c r="P47" s="34" t="e">
        <f t="shared" si="5"/>
        <v>#VALUE!</v>
      </c>
      <c r="Q47" s="33" t="e">
        <f t="shared" si="6"/>
        <v>#VALUE!</v>
      </c>
      <c r="R47" s="73">
        <v>0</v>
      </c>
      <c r="S47" s="122"/>
      <c r="T47" s="74">
        <v>0</v>
      </c>
      <c r="U47" s="75">
        <f t="shared" si="1"/>
        <v>0</v>
      </c>
      <c r="V47" s="76" t="e">
        <f t="shared" si="7"/>
        <v>#VALUE!</v>
      </c>
      <c r="W47" s="76" t="e">
        <f t="shared" si="8"/>
        <v>#VALUE!</v>
      </c>
      <c r="X47" s="77" t="e">
        <f t="shared" si="9"/>
        <v>#VALUE!</v>
      </c>
    </row>
    <row r="48" spans="1:24" s="48" customFormat="1" ht="14.25" x14ac:dyDescent="0.35">
      <c r="A48" s="17"/>
      <c r="B48" s="15" t="s">
        <v>50</v>
      </c>
      <c r="C48" s="13"/>
      <c r="D48" s="12"/>
      <c r="E48" s="12"/>
      <c r="F48" s="12"/>
      <c r="G48" s="114"/>
      <c r="H48" s="38"/>
      <c r="I48" s="36">
        <v>0</v>
      </c>
      <c r="J48" s="112"/>
      <c r="K48" s="37"/>
      <c r="L48" s="14">
        <f t="shared" si="2"/>
        <v>0</v>
      </c>
      <c r="M48" s="14">
        <f t="shared" si="3"/>
        <v>0</v>
      </c>
      <c r="N48" s="14">
        <f t="shared" si="4"/>
        <v>0</v>
      </c>
      <c r="O48" s="14" t="str">
        <f t="shared" si="0"/>
        <v/>
      </c>
      <c r="P48" s="34" t="e">
        <f t="shared" si="5"/>
        <v>#VALUE!</v>
      </c>
      <c r="Q48" s="33" t="e">
        <f t="shared" si="6"/>
        <v>#VALUE!</v>
      </c>
      <c r="R48" s="73">
        <v>0</v>
      </c>
      <c r="S48" s="122"/>
      <c r="T48" s="74">
        <v>0</v>
      </c>
      <c r="U48" s="75">
        <f t="shared" si="1"/>
        <v>0</v>
      </c>
      <c r="V48" s="76" t="e">
        <f t="shared" si="7"/>
        <v>#VALUE!</v>
      </c>
      <c r="W48" s="76" t="e">
        <f t="shared" si="8"/>
        <v>#VALUE!</v>
      </c>
      <c r="X48" s="77" t="e">
        <f t="shared" si="9"/>
        <v>#VALUE!</v>
      </c>
    </row>
    <row r="49" spans="1:24" s="48" customFormat="1" ht="14.25" x14ac:dyDescent="0.35">
      <c r="A49" s="17"/>
      <c r="B49" s="15" t="s">
        <v>50</v>
      </c>
      <c r="C49" s="13"/>
      <c r="D49" s="12"/>
      <c r="E49" s="12"/>
      <c r="F49" s="12"/>
      <c r="G49" s="114"/>
      <c r="H49" s="38"/>
      <c r="I49" s="36">
        <v>0</v>
      </c>
      <c r="J49" s="112"/>
      <c r="K49" s="37"/>
      <c r="L49" s="14">
        <f t="shared" si="2"/>
        <v>0</v>
      </c>
      <c r="M49" s="14">
        <f t="shared" si="3"/>
        <v>0</v>
      </c>
      <c r="N49" s="14">
        <f t="shared" si="4"/>
        <v>0</v>
      </c>
      <c r="O49" s="14" t="str">
        <f t="shared" si="0"/>
        <v/>
      </c>
      <c r="P49" s="34" t="e">
        <f t="shared" ref="P49" si="10">IF(ISNUMBER(O49),O49,VALUE(RIGHT(O49,2)&amp;SUBSTITUTE(O49,RIGHT(O49,2),"")))</f>
        <v>#VALUE!</v>
      </c>
      <c r="Q49" s="33" t="e">
        <f t="shared" ref="Q49" si="11">IF(P49=99,1,2)</f>
        <v>#VALUE!</v>
      </c>
      <c r="R49" s="73">
        <v>0</v>
      </c>
      <c r="S49" s="122"/>
      <c r="T49" s="74">
        <v>0</v>
      </c>
      <c r="U49" s="75">
        <f t="shared" si="1"/>
        <v>0</v>
      </c>
      <c r="V49" s="76" t="e">
        <f t="shared" si="7"/>
        <v>#VALUE!</v>
      </c>
      <c r="W49" s="76" t="e">
        <f t="shared" si="8"/>
        <v>#VALUE!</v>
      </c>
      <c r="X49" s="77" t="e">
        <f t="shared" si="9"/>
        <v>#VALUE!</v>
      </c>
    </row>
    <row r="50" spans="1:24" s="48" customFormat="1" ht="13.15" x14ac:dyDescent="0.4">
      <c r="A50" s="78"/>
      <c r="B50" s="79"/>
      <c r="C50" s="16"/>
      <c r="D50" s="16"/>
      <c r="E50" s="16"/>
      <c r="F50" s="16">
        <f t="shared" ref="F50:K50" si="12">SUM(F16:F44)</f>
        <v>20250336</v>
      </c>
      <c r="G50" s="115">
        <f t="shared" si="12"/>
        <v>0</v>
      </c>
      <c r="H50" s="16">
        <f>SUM(H16:H49)</f>
        <v>69081.02</v>
      </c>
      <c r="I50" s="16">
        <f>SUM(I16:I49)</f>
        <v>62000</v>
      </c>
      <c r="J50" s="113">
        <f t="shared" si="12"/>
        <v>0</v>
      </c>
      <c r="K50" s="42">
        <f t="shared" si="12"/>
        <v>0</v>
      </c>
      <c r="L50" s="42"/>
      <c r="M50" s="42"/>
      <c r="N50" s="42"/>
      <c r="O50" s="42">
        <f>SUM(O16:O49)</f>
        <v>0</v>
      </c>
      <c r="P50" s="85"/>
      <c r="Q50" s="85"/>
      <c r="R50" s="42">
        <f>SUM(R16:R49)</f>
        <v>14000</v>
      </c>
      <c r="S50" s="85"/>
      <c r="T50" s="47">
        <f>SUM(T16:T49)</f>
        <v>0</v>
      </c>
      <c r="U50" s="43">
        <f>SUM(U16:U49)</f>
        <v>76000</v>
      </c>
      <c r="V50" s="84" t="e">
        <f>SUM(V16:V49)</f>
        <v>#VALUE!</v>
      </c>
      <c r="W50" s="84" t="e">
        <f t="shared" ref="W50:X50" si="13">SUM(W16:W49)</f>
        <v>#VALUE!</v>
      </c>
      <c r="X50" s="84" t="e">
        <f t="shared" si="13"/>
        <v>#VALUE!</v>
      </c>
    </row>
    <row r="51" spans="1:24" x14ac:dyDescent="0.35">
      <c r="C51" s="1"/>
      <c r="D51" s="7"/>
      <c r="E51" s="2"/>
      <c r="F51" s="3"/>
      <c r="H51" s="9"/>
    </row>
    <row r="52" spans="1:24" x14ac:dyDescent="0.35">
      <c r="C52" s="1"/>
      <c r="D52" s="7"/>
      <c r="E52" s="2"/>
      <c r="F52" s="3"/>
      <c r="H52" s="9"/>
    </row>
    <row r="53" spans="1:24" x14ac:dyDescent="0.35">
      <c r="C53" s="1"/>
      <c r="D53" s="7"/>
      <c r="E53" s="2"/>
      <c r="F53" s="3"/>
      <c r="H53" s="9"/>
    </row>
    <row r="54" spans="1:24" x14ac:dyDescent="0.35">
      <c r="C54" s="1"/>
      <c r="D54" s="7"/>
      <c r="E54" s="2"/>
      <c r="F54" s="3"/>
      <c r="H54" s="9"/>
    </row>
    <row r="55" spans="1:24" x14ac:dyDescent="0.35">
      <c r="C55" s="1"/>
      <c r="D55" s="7"/>
      <c r="E55" s="2"/>
      <c r="F55" s="3"/>
      <c r="H55" s="9"/>
    </row>
    <row r="56" spans="1:24" x14ac:dyDescent="0.35">
      <c r="C56" s="1"/>
      <c r="D56" s="7"/>
      <c r="E56" s="2"/>
      <c r="F56" s="3"/>
      <c r="H56" s="9"/>
    </row>
    <row r="57" spans="1:24" x14ac:dyDescent="0.35">
      <c r="C57" s="1"/>
      <c r="D57" s="7"/>
      <c r="E57" s="2"/>
      <c r="F57" s="3"/>
      <c r="H57" s="9"/>
    </row>
    <row r="58" spans="1:24" x14ac:dyDescent="0.35">
      <c r="C58" s="1"/>
      <c r="D58" s="7"/>
      <c r="E58" s="2"/>
      <c r="F58" s="3"/>
      <c r="H58" s="9"/>
    </row>
    <row r="59" spans="1:24" x14ac:dyDescent="0.35">
      <c r="C59" s="1"/>
      <c r="D59" s="7"/>
      <c r="E59" s="2"/>
      <c r="F59" s="3"/>
      <c r="H59" s="9"/>
    </row>
    <row r="60" spans="1:24" x14ac:dyDescent="0.35">
      <c r="C60" s="1"/>
      <c r="D60" s="7"/>
      <c r="E60" s="2"/>
      <c r="F60" s="3"/>
      <c r="H60" s="9"/>
    </row>
    <row r="61" spans="1:24" x14ac:dyDescent="0.35">
      <c r="C61" s="1"/>
      <c r="D61" s="7"/>
      <c r="E61" s="2"/>
      <c r="F61" s="3"/>
      <c r="H61" s="9"/>
    </row>
    <row r="62" spans="1:24" x14ac:dyDescent="0.35">
      <c r="C62" s="1"/>
      <c r="D62" s="7"/>
      <c r="E62" s="2"/>
      <c r="F62" s="3"/>
      <c r="H62" s="9"/>
    </row>
    <row r="63" spans="1:24" x14ac:dyDescent="0.35">
      <c r="C63" s="1"/>
      <c r="D63" s="7"/>
      <c r="E63" s="2"/>
      <c r="F63" s="3"/>
      <c r="H63" s="9"/>
    </row>
    <row r="64" spans="1:24" x14ac:dyDescent="0.35">
      <c r="C64" s="1"/>
      <c r="D64" s="7"/>
      <c r="E64" s="2"/>
      <c r="F64" s="3"/>
      <c r="H64" s="9"/>
    </row>
    <row r="65" spans="2:8" x14ac:dyDescent="0.35">
      <c r="C65" s="1"/>
      <c r="D65" s="7"/>
      <c r="E65" s="2"/>
      <c r="F65" s="3"/>
      <c r="H65" s="9"/>
    </row>
    <row r="66" spans="2:8" x14ac:dyDescent="0.35">
      <c r="C66" s="1"/>
      <c r="D66" s="7"/>
      <c r="E66" s="2"/>
      <c r="F66" s="3"/>
      <c r="H66" s="9"/>
    </row>
    <row r="67" spans="2:8" x14ac:dyDescent="0.35">
      <c r="C67" s="1"/>
      <c r="D67" s="7"/>
      <c r="E67" s="2"/>
      <c r="F67" s="3"/>
      <c r="H67" s="9"/>
    </row>
    <row r="68" spans="2:8" x14ac:dyDescent="0.35">
      <c r="C68" s="1"/>
      <c r="D68" s="7"/>
      <c r="E68" s="2"/>
      <c r="F68" s="3"/>
      <c r="H68" s="9"/>
    </row>
    <row r="69" spans="2:8" x14ac:dyDescent="0.35">
      <c r="C69" s="1"/>
      <c r="D69" s="7"/>
      <c r="E69" s="2"/>
      <c r="F69" s="3"/>
      <c r="H69" s="9"/>
    </row>
    <row r="70" spans="2:8" x14ac:dyDescent="0.35">
      <c r="C70" s="1"/>
      <c r="D70" s="7"/>
      <c r="E70" s="2"/>
      <c r="F70" s="3"/>
      <c r="H70" s="9"/>
    </row>
    <row r="71" spans="2:8" x14ac:dyDescent="0.35">
      <c r="C71" s="1"/>
      <c r="D71" s="7"/>
      <c r="E71" s="2"/>
      <c r="F71" s="3"/>
      <c r="H71" s="9"/>
    </row>
    <row r="72" spans="2:8" x14ac:dyDescent="0.35">
      <c r="B72" s="1"/>
      <c r="C72" s="1"/>
      <c r="D72" s="7"/>
      <c r="E72" s="2"/>
      <c r="F72" s="3"/>
      <c r="G72" s="8"/>
      <c r="H72" s="9"/>
    </row>
  </sheetData>
  <mergeCells count="2">
    <mergeCell ref="B14:J15"/>
    <mergeCell ref="O15:Q15"/>
  </mergeCells>
  <phoneticPr fontId="0" type="noConversion"/>
  <printOptions horizontalCentered="1"/>
  <pageMargins left="0.74803149606299213" right="0.62992125984251968" top="1.1417322834645669" bottom="0.98425196850393704" header="0.59055118110236227" footer="0.51181102362204722"/>
  <pageSetup paperSize="9" scale="63" orientation="portrait" horizontalDpi="4294967293" verticalDpi="300" r:id="rId1"/>
  <headerFooter alignWithMargins="0">
    <oddHeader xml:space="preserve"><![CDATA[&C&"Cambria,Normal"&26&UCABINET PHENIX&22&K000000
&18&UExpert en Recouvrement de Créances&R
&12Paris, le &D&10
]]></oddHeader>
    <oddFooter xml:space="preserve">&amp;C5, rue de Douai - 75009 PARIS – Tel. : 01 53 20 12 76 – Fax : 01 70 24 82 36 - E-mail : contact@cabinetphenix.fr
S.A.R.L au capital de 1200€ - R.C.S. Paris B 519 260 491 – APE 8291Z – N° TVA Intracommunautaire FR 91519260491
</oddFooter>
  </headerFooter>
  <colBreaks count="1" manualBreakCount="1">
    <brk id="10"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A1:I56"/>
  <sheetViews>
    <sheetView zoomScaleNormal="100" workbookViewId="0">
      <selection activeCell="C22" sqref="C22"/>
    </sheetView>
  </sheetViews>
  <sheetFormatPr baseColWidth="10" defaultColWidth="11.3984375" defaultRowHeight="14.25" x14ac:dyDescent="0.45"/>
  <cols>
    <col min="1" max="1" customWidth="true" style="23" width="10.265625"/>
    <col min="2" max="2" customWidth="true" style="21" width="30.3984375"/>
    <col min="3" max="3" customWidth="true" style="21" width="30.59765625"/>
    <col min="4" max="4" customWidth="true" style="22" width="16.265625"/>
    <col min="5" max="5" bestFit="true" customWidth="true" style="22" width="15.3984375"/>
    <col min="6" max="6" customWidth="true" style="22" width="14.265625"/>
    <col min="7" max="7" bestFit="true" customWidth="true" style="22" width="6.59765625"/>
    <col min="8" max="8" customWidth="true" style="21" width="14.265625"/>
    <col min="9" max="16384" style="21" width="11.3984375"/>
  </cols>
  <sheetData>
    <row r="1" spans="1:9" s="87" customFormat="1" x14ac:dyDescent="0.35">
      <c r="A1" s="269"/>
      <c r="B1" s="270"/>
      <c r="C1" s="270"/>
      <c r="D1" s="271"/>
      <c r="E1" s="271"/>
      <c r="F1" s="271"/>
      <c r="G1" s="271"/>
      <c r="H1" s="270"/>
      <c r="I1" s="86"/>
    </row>
    <row r="2" spans="1:9" s="87" customFormat="1" x14ac:dyDescent="0.35">
      <c r="A2" s="269"/>
      <c r="B2" s="270"/>
      <c r="C2" s="270"/>
      <c r="D2" s="271"/>
      <c r="E2" s="271"/>
      <c r="F2" s="271"/>
      <c r="G2" s="271"/>
      <c r="H2" s="270"/>
      <c r="I2" s="86"/>
    </row>
    <row r="3" spans="1:9" s="87" customFormat="1" x14ac:dyDescent="0.35">
      <c r="A3" s="269"/>
      <c r="B3" s="270"/>
      <c r="C3" s="270"/>
      <c r="D3" s="271"/>
      <c r="E3" s="271"/>
      <c r="F3" s="271"/>
      <c r="G3" s="271"/>
      <c r="H3" s="270"/>
      <c r="I3" s="86"/>
    </row>
    <row r="4" spans="1:9" s="87" customFormat="1" x14ac:dyDescent="0.35">
      <c r="A4" s="269"/>
      <c r="B4" s="270"/>
      <c r="C4" s="270"/>
      <c r="D4" s="271"/>
      <c r="E4" s="271"/>
      <c r="F4" s="271"/>
      <c r="G4" s="271"/>
      <c r="H4" s="270"/>
      <c r="I4" s="86"/>
    </row>
    <row r="5" spans="1:9" s="87" customFormat="1" ht="18" x14ac:dyDescent="0.35">
      <c r="A5" s="269"/>
      <c r="B5" s="270"/>
      <c r="C5" s="270"/>
      <c r="D5" s="271"/>
      <c r="E5" s="95" t="str">
        <f>Créances!H4</f>
        <v>FT TRADING</v>
      </c>
      <c r="F5" s="271"/>
      <c r="G5" s="271"/>
      <c r="H5" s="270"/>
      <c r="I5" s="86"/>
    </row>
    <row r="6" spans="1:9" s="87" customFormat="1" ht="18" x14ac:dyDescent="0.35">
      <c r="A6" s="269"/>
      <c r="B6" s="270"/>
      <c r="C6" s="270"/>
      <c r="D6" s="271"/>
      <c r="E6" s="95" t="str">
        <f>Créances!H5</f>
        <v>108, Avenue Gallieni</v>
      </c>
      <c r="F6" s="271"/>
      <c r="G6" s="271"/>
      <c r="H6" s="270"/>
      <c r="I6" s="86"/>
    </row>
    <row r="7" spans="1:9" s="87" customFormat="1" ht="18" x14ac:dyDescent="0.35">
      <c r="A7" s="269"/>
      <c r="B7" s="270"/>
      <c r="C7" s="270"/>
      <c r="D7" s="271"/>
      <c r="E7" s="95" t="str">
        <f>Créances!H6</f>
        <v>93140 BONDY</v>
      </c>
      <c r="F7" s="271"/>
      <c r="G7" s="271"/>
      <c r="H7" s="270"/>
      <c r="I7" s="86"/>
    </row>
    <row r="8" spans="1:9" s="87" customFormat="1" ht="18" x14ac:dyDescent="0.35">
      <c r="A8" s="269"/>
      <c r="B8" s="270"/>
      <c r="C8" s="270"/>
      <c r="D8" s="271" t="str">
        <f>IF(Créances!G7="","",IF(Créances!G7=0,"",Créances!G7))</f>
        <v/>
      </c>
      <c r="E8" s="95" t="str">
        <f>IF(Créances!H7="","",IF(Créances!H7=0,"",Créances!H7))</f>
        <v/>
      </c>
      <c r="F8" s="271"/>
      <c r="G8" s="271"/>
      <c r="H8" s="270"/>
      <c r="I8" s="86"/>
    </row>
    <row r="9" spans="1:9" s="87" customFormat="1" ht="18" x14ac:dyDescent="0.35">
      <c r="A9" s="269"/>
      <c r="B9" s="270"/>
      <c r="C9" s="270"/>
      <c r="D9" s="271"/>
      <c r="E9" s="95" t="str">
        <f>Créances!H8</f>
        <v>Monsieur Hikmet AVINCA</v>
      </c>
      <c r="F9" s="271"/>
      <c r="G9" s="271"/>
      <c r="H9" s="270"/>
      <c r="I9" s="86"/>
    </row>
    <row r="10" spans="1:9" s="87" customFormat="1" x14ac:dyDescent="0.35">
      <c r="A10" s="269"/>
      <c r="B10" s="272"/>
      <c r="C10" s="272"/>
      <c r="D10" s="271"/>
      <c r="E10" s="271"/>
      <c r="F10" s="271"/>
      <c r="G10" s="271"/>
      <c r="H10" s="270"/>
      <c r="I10" s="86"/>
    </row>
    <row r="11" spans="1:9" s="87" customFormat="1" x14ac:dyDescent="0.35">
      <c r="A11" s="269"/>
      <c r="B11" s="272"/>
      <c r="C11" s="272"/>
      <c r="D11" s="271"/>
      <c r="E11" s="271"/>
      <c r="F11" s="271"/>
      <c r="G11" s="271"/>
      <c r="H11" s="270"/>
      <c r="I11" s="86"/>
    </row>
    <row r="12" spans="1:9" s="87" customFormat="1" ht="14.65" thickBot="1" x14ac:dyDescent="0.4">
      <c r="A12" s="269"/>
      <c r="B12" s="270"/>
      <c r="C12" s="270"/>
      <c r="D12" s="271"/>
      <c r="E12" s="271"/>
      <c r="F12" s="271"/>
      <c r="G12" s="271"/>
      <c r="H12" s="270"/>
      <c r="I12" s="86"/>
    </row>
    <row r="13" spans="1:9" s="87" customFormat="1" ht="14.65" thickBot="1" x14ac:dyDescent="0.4">
      <c r="A13" s="269"/>
      <c r="B13" s="272"/>
      <c r="C13" s="273" t="s">
        <v>40</v>
      </c>
      <c r="D13" s="274" t="s">
        <v>207</v>
      </c>
      <c r="E13" s="271"/>
      <c r="F13" s="271"/>
      <c r="G13" s="271"/>
      <c r="H13" s="270"/>
      <c r="I13" s="86"/>
    </row>
    <row r="14" spans="1:9" s="87" customFormat="1" x14ac:dyDescent="0.35">
      <c r="A14" s="269"/>
      <c r="B14" s="275"/>
      <c r="C14" s="276"/>
      <c r="D14" s="271"/>
      <c r="E14" s="271"/>
      <c r="F14" s="271"/>
      <c r="G14" s="271"/>
      <c r="H14" s="270"/>
      <c r="I14" s="86"/>
    </row>
    <row r="15" spans="1:9" s="87" customFormat="1" ht="14.65" thickBot="1" x14ac:dyDescent="0.4">
      <c r="A15" s="277" t="str">
        <f>Créances!$A$13</f>
        <v>Code Client : D93110</v>
      </c>
      <c r="B15" s="270"/>
      <c r="C15" s="270"/>
      <c r="D15" s="271"/>
      <c r="E15" s="271"/>
      <c r="F15" s="271"/>
      <c r="G15" s="271"/>
      <c r="H15" s="270"/>
      <c r="I15" s="86"/>
    </row>
    <row r="16" spans="1:9" s="87" customFormat="1" ht="14.65" thickBot="1" x14ac:dyDescent="0.4">
      <c r="A16" s="379" t="s">
        <v>73</v>
      </c>
      <c r="B16" s="380"/>
      <c r="C16" s="380"/>
      <c r="D16" s="380"/>
      <c r="E16" s="380"/>
      <c r="F16" s="380"/>
      <c r="G16" s="381"/>
      <c r="H16" s="270"/>
      <c r="I16" s="86"/>
    </row>
    <row r="17" spans="1:9" s="87" customFormat="1" ht="26.25" x14ac:dyDescent="0.35">
      <c r="A17" s="365" t="s">
        <v>1</v>
      </c>
      <c r="B17" s="365" t="s">
        <v>0</v>
      </c>
      <c r="C17" s="365" t="s">
        <v>39</v>
      </c>
      <c r="D17" s="366" t="s">
        <v>47</v>
      </c>
      <c r="E17" s="366" t="s">
        <v>11</v>
      </c>
      <c r="F17" s="366" t="s">
        <v>7</v>
      </c>
      <c r="G17" s="365" t="s">
        <v>6</v>
      </c>
      <c r="H17" s="278"/>
      <c r="I17" s="86"/>
    </row>
    <row r="18" spans="1:9" s="87" customFormat="1" x14ac:dyDescent="0.35">
      <c r="A18" s="368">
        <v>1</v>
      </c>
      <c r="B18" s="368">
        <v>20250336</v>
      </c>
      <c r="C18" s="369" t="s">
        <v>202</v>
      </c>
      <c r="D18" s="367">
        <v>7000</v>
      </c>
      <c r="E18" s="371">
        <v>420</v>
      </c>
      <c r="F18" s="371">
        <v>0</v>
      </c>
      <c r="G18" s="370" t="s">
        <v>205</v>
      </c>
      <c r="H18" s="272"/>
      <c r="I18" s="86"/>
    </row>
    <row r="19" spans="1:9" s="87" customFormat="1" x14ac:dyDescent="0.35">
      <c r="A19" s="23"/>
      <c r="B19" s="21"/>
      <c r="C19" s="21"/>
      <c r="D19" s="22"/>
      <c r="E19" s="22"/>
      <c r="F19" s="22"/>
      <c r="G19" s="22"/>
      <c r="H19" s="272"/>
      <c r="I19" s="86"/>
    </row>
    <row r="20" spans="1:9" s="87" customFormat="1" x14ac:dyDescent="0.35">
      <c r="A20" s="23"/>
      <c r="B20" s="21"/>
      <c r="C20" s="21"/>
      <c r="D20" s="22"/>
      <c r="E20" s="22"/>
      <c r="F20" s="22"/>
      <c r="G20" s="22"/>
      <c r="H20" s="272"/>
      <c r="I20" s="86"/>
    </row>
    <row r="21" spans="1:9" s="87" customFormat="1" x14ac:dyDescent="0.35">
      <c r="A21" s="23"/>
      <c r="B21" s="21"/>
      <c r="C21" s="21"/>
      <c r="D21" s="22"/>
      <c r="E21" s="22"/>
      <c r="F21" s="22"/>
      <c r="G21" s="22"/>
      <c r="H21" s="272"/>
      <c r="I21" s="86"/>
    </row>
    <row r="22" spans="1:9" s="87" customFormat="1" x14ac:dyDescent="0.35">
      <c r="A22" s="23"/>
      <c r="B22" s="21"/>
      <c r="C22" s="21"/>
      <c r="D22" s="22"/>
      <c r="E22" s="22"/>
      <c r="F22" s="22"/>
      <c r="G22" s="22"/>
      <c r="H22" s="270"/>
      <c r="I22" s="86"/>
    </row>
    <row r="23" spans="1:9" s="87" customFormat="1" x14ac:dyDescent="0.35">
      <c r="A23" s="283"/>
      <c r="B23" s="284"/>
      <c r="C23" s="284"/>
      <c r="D23" s="284"/>
      <c r="E23" s="284"/>
      <c r="F23" s="284"/>
      <c r="G23" s="299"/>
      <c r="H23" s="270"/>
      <c r="I23" s="86"/>
    </row>
    <row r="24" spans="1:9" s="87" customFormat="1" x14ac:dyDescent="0.35">
      <c r="A24" s="283"/>
      <c r="B24" s="284"/>
      <c r="C24" s="284"/>
      <c r="D24" s="284"/>
      <c r="E24" s="284"/>
      <c r="F24" s="284"/>
      <c r="G24" s="299"/>
      <c r="H24" s="270"/>
      <c r="I24" s="86"/>
    </row>
    <row r="25" spans="1:9" s="87" customFormat="1" x14ac:dyDescent="0.35">
      <c r="A25" s="283"/>
      <c r="B25" s="284"/>
      <c r="C25" s="284"/>
      <c r="D25" s="284"/>
      <c r="E25" s="284"/>
      <c r="F25" s="284"/>
      <c r="G25" s="299"/>
      <c r="H25" s="270"/>
      <c r="I25" s="86"/>
    </row>
    <row r="26" spans="1:9" s="87" customFormat="1" x14ac:dyDescent="0.35">
      <c r="A26" s="275"/>
      <c r="B26" s="272"/>
      <c r="C26" s="272"/>
      <c r="D26" s="271"/>
      <c r="E26" s="271"/>
      <c r="F26" s="271"/>
      <c r="G26" s="300"/>
      <c r="H26" s="270"/>
      <c r="I26" s="86"/>
    </row>
    <row r="27" spans="1:9" s="87" customFormat="1" x14ac:dyDescent="0.35">
      <c r="A27" s="275"/>
      <c r="B27" s="272"/>
      <c r="C27" s="272"/>
      <c r="D27" s="271"/>
      <c r="E27" s="271"/>
      <c r="F27" s="271"/>
      <c r="G27" s="300"/>
      <c r="H27" s="270"/>
      <c r="I27" s="86"/>
    </row>
    <row r="28" spans="1:9" s="87" customFormat="1" ht="14.65" thickBot="1" x14ac:dyDescent="0.4">
      <c r="A28" s="272"/>
      <c r="B28" s="272"/>
      <c r="C28" s="272"/>
      <c r="D28" s="271"/>
      <c r="E28" s="271"/>
      <c r="F28" s="271"/>
      <c r="G28" s="300"/>
      <c r="H28" s="270"/>
      <c r="I28" s="86"/>
    </row>
    <row r="29" spans="1:9" s="87" customFormat="1" ht="14.65" thickBot="1" x14ac:dyDescent="0.4">
      <c r="A29" s="379" t="s">
        <v>38</v>
      </c>
      <c r="B29" s="380"/>
      <c r="C29" s="381"/>
      <c r="D29" s="271"/>
      <c r="E29" s="271"/>
      <c r="F29" s="271"/>
      <c r="G29" s="272"/>
      <c r="H29" s="270"/>
      <c r="I29" s="86"/>
    </row>
    <row r="30" spans="1:9" s="87" customFormat="1" x14ac:dyDescent="0.35">
      <c r="A30" s="29" t="s">
        <v>25</v>
      </c>
      <c r="B30" s="285" t="s">
        <v>12</v>
      </c>
      <c r="C30" s="286">
        <f>SUMIF(G17:G49,"AG",(D17:D81))</f>
        <v>7000</v>
      </c>
      <c r="D30" s="271"/>
      <c r="E30" s="271"/>
      <c r="F30" s="271"/>
      <c r="G30" s="272"/>
      <c r="H30" s="270"/>
      <c r="I30" s="86"/>
    </row>
    <row r="31" spans="1:9" s="87" customFormat="1" x14ac:dyDescent="0.35">
      <c r="A31" s="29" t="s">
        <v>26</v>
      </c>
      <c r="B31" s="285" t="s">
        <v>13</v>
      </c>
      <c r="C31" s="287">
        <f>SUMIF(G17:G48,"CL",(D17:D80))</f>
        <v>0</v>
      </c>
      <c r="D31" s="271"/>
      <c r="E31" s="271"/>
      <c r="F31" s="271"/>
      <c r="G31" s="272"/>
      <c r="H31" s="270"/>
      <c r="I31" s="86"/>
    </row>
    <row r="32" spans="1:9" s="87" customFormat="1" x14ac:dyDescent="0.35">
      <c r="A32" s="29" t="s">
        <v>37</v>
      </c>
      <c r="B32" s="288" t="s">
        <v>36</v>
      </c>
      <c r="C32" s="289">
        <f>C31+C30</f>
        <v>7000</v>
      </c>
      <c r="D32" s="290"/>
      <c r="E32" s="271"/>
      <c r="F32" s="271"/>
      <c r="G32" s="271"/>
      <c r="H32" s="270"/>
      <c r="I32" s="86"/>
    </row>
    <row r="33" spans="1:9" s="87" customFormat="1" x14ac:dyDescent="0.35">
      <c r="A33" s="30"/>
      <c r="B33" s="279"/>
      <c r="C33" s="291"/>
      <c r="D33" s="271"/>
      <c r="E33" s="271"/>
      <c r="F33" s="271"/>
      <c r="G33" s="271"/>
      <c r="H33" s="270"/>
      <c r="I33" s="86"/>
    </row>
    <row r="34" spans="1:9" s="87" customFormat="1" ht="14.65" thickBot="1" x14ac:dyDescent="0.4">
      <c r="A34" s="30"/>
      <c r="B34" s="279"/>
      <c r="C34" s="291"/>
      <c r="D34" s="271"/>
      <c r="E34" s="271"/>
      <c r="F34" s="271"/>
      <c r="G34" s="271"/>
      <c r="H34" s="270"/>
      <c r="I34" s="86"/>
    </row>
    <row r="35" spans="1:9" s="87" customFormat="1" ht="14.65" thickBot="1" x14ac:dyDescent="0.4">
      <c r="A35" s="379" t="str">
        <f>IF(C40&gt;0,"LES INFORMATIONS LIEES A LA FACTURE","LES INFORMATIONS LIEES A L'AVOIR")</f>
        <v>LES INFORMATIONS LIEES A LA FACTURE</v>
      </c>
      <c r="B35" s="380"/>
      <c r="C35" s="381"/>
      <c r="D35" s="271"/>
      <c r="E35" s="271"/>
      <c r="F35" s="271"/>
      <c r="G35" s="271"/>
      <c r="H35" s="270"/>
      <c r="I35" s="86"/>
    </row>
    <row r="36" spans="1:9" s="87" customFormat="1" ht="15.4" x14ac:dyDescent="0.35">
      <c r="A36" s="29" t="s">
        <v>27</v>
      </c>
      <c r="B36" s="285" t="s">
        <v>14</v>
      </c>
      <c r="C36" s="287">
        <f>SUM(E18:E89)</f>
        <v>420</v>
      </c>
      <c r="D36" s="292"/>
      <c r="E36" s="271"/>
      <c r="F36" s="271"/>
      <c r="G36" s="271"/>
      <c r="H36" s="270"/>
      <c r="I36" s="86"/>
    </row>
    <row r="37" spans="1:9" s="87" customFormat="1" x14ac:dyDescent="0.35">
      <c r="A37" s="29" t="s">
        <v>28</v>
      </c>
      <c r="B37" s="285" t="s">
        <v>51</v>
      </c>
      <c r="C37" s="287">
        <f>SUM(F18:F46)</f>
        <v>0</v>
      </c>
      <c r="D37" s="271"/>
      <c r="E37" s="271"/>
      <c r="F37" s="271"/>
      <c r="G37" s="271"/>
      <c r="H37" s="270"/>
      <c r="I37" s="86"/>
    </row>
    <row r="38" spans="1:9" s="87" customFormat="1" x14ac:dyDescent="0.35">
      <c r="A38" s="29" t="s">
        <v>35</v>
      </c>
      <c r="B38" s="285" t="s">
        <v>15</v>
      </c>
      <c r="C38" s="287">
        <f>C36+C37</f>
        <v>420</v>
      </c>
      <c r="D38" s="271"/>
      <c r="E38" s="271"/>
      <c r="F38" s="271"/>
      <c r="G38" s="271"/>
      <c r="H38" s="270"/>
      <c r="I38" s="86"/>
    </row>
    <row r="39" spans="1:9" s="87" customFormat="1" x14ac:dyDescent="0.35">
      <c r="A39" s="29" t="s">
        <v>74</v>
      </c>
      <c r="B39" s="285" t="s">
        <v>75</v>
      </c>
      <c r="C39" s="287">
        <f>ROUND(C38*20%,2)</f>
        <v>84</v>
      </c>
      <c r="D39" s="271"/>
      <c r="E39" s="271"/>
      <c r="F39" s="271"/>
      <c r="G39" s="271"/>
      <c r="H39" s="270"/>
      <c r="I39" s="86"/>
    </row>
    <row r="40" spans="1:9" s="87" customFormat="1" x14ac:dyDescent="0.35">
      <c r="A40" s="29" t="s">
        <v>34</v>
      </c>
      <c r="B40" s="288" t="s">
        <v>16</v>
      </c>
      <c r="C40" s="289">
        <f>SUM(C38:C39)</f>
        <v>504</v>
      </c>
      <c r="D40" s="271"/>
      <c r="E40" s="271"/>
      <c r="F40" s="271"/>
      <c r="G40" s="271"/>
      <c r="H40" s="270"/>
      <c r="I40" s="86"/>
    </row>
    <row r="41" spans="1:9" s="87" customFormat="1" x14ac:dyDescent="0.35">
      <c r="A41" s="30"/>
      <c r="B41" s="293"/>
      <c r="C41" s="294"/>
      <c r="D41" s="271"/>
      <c r="E41" s="271"/>
      <c r="F41" s="271"/>
      <c r="G41" s="271"/>
      <c r="H41" s="270"/>
      <c r="I41" s="86"/>
    </row>
    <row r="42" spans="1:9" s="87" customFormat="1" ht="14.65" thickBot="1" x14ac:dyDescent="0.4">
      <c r="A42" s="30"/>
      <c r="B42" s="293"/>
      <c r="C42" s="294"/>
      <c r="D42" s="271"/>
      <c r="E42" s="271"/>
      <c r="F42" s="271"/>
      <c r="G42" s="271"/>
      <c r="H42" s="270"/>
      <c r="I42" s="86"/>
    </row>
    <row r="43" spans="1:9" s="87" customFormat="1" ht="14.65" thickBot="1" x14ac:dyDescent="0.4">
      <c r="A43" s="379" t="s">
        <v>33</v>
      </c>
      <c r="B43" s="380"/>
      <c r="C43" s="381"/>
      <c r="D43" s="271"/>
      <c r="E43" s="271"/>
      <c r="F43" s="271"/>
      <c r="G43" s="271"/>
      <c r="H43" s="270"/>
      <c r="I43" s="86"/>
    </row>
    <row r="44" spans="1:9" s="87" customFormat="1" ht="28.5" x14ac:dyDescent="0.35">
      <c r="A44" s="29" t="s">
        <v>32</v>
      </c>
      <c r="B44" s="31" t="str">
        <f>IF((C30-C40)&gt;0,"Le solde des encaissements de la période est en votre faveur de :","Le solde des encaissements de la période est en notre faveur de :")</f>
        <v>Le solde des encaissements de la période est en votre faveur de :</v>
      </c>
      <c r="C44" s="295">
        <f>IF(OR(AND(C32&lt;0,C30&lt;0),OR(C32&lt;0,C30&lt;0))," Le system ne peut gérer les sommes négatives, il faut établir un avoir manuel",IF((C30-C40)&lt;0,C40-C30,(C30-C40)))</f>
        <v>6496</v>
      </c>
      <c r="D44" s="88"/>
      <c r="E44" s="271"/>
      <c r="F44" s="271"/>
      <c r="G44" s="271"/>
      <c r="H44" s="270"/>
      <c r="I44" s="86"/>
    </row>
    <row r="45" spans="1:9" s="87" customFormat="1" ht="26.25" x14ac:dyDescent="0.35">
      <c r="A45" s="29" t="s">
        <v>31</v>
      </c>
      <c r="B45" s="296" t="str">
        <f>IF(C45=0,"Il n'y a pas de factures en retard de paiement ni d'avoirs en cours",IF(C45&gt;0,"La somme des précédentes factures impayées :",IF(C45&lt;0,"La sommes des avoirs en cours :")))</f>
        <v>Il n'y a pas de factures en retard de paiement ni d'avoirs en cours</v>
      </c>
      <c r="C45" s="362">
        <v>0</v>
      </c>
      <c r="D45" s="271"/>
      <c r="E45" s="271"/>
      <c r="F45" s="271"/>
      <c r="G45" s="271"/>
      <c r="H45" s="272"/>
    </row>
    <row r="46" spans="1:9" s="87" customFormat="1" ht="57" x14ac:dyDescent="0.35">
      <c r="A46" s="28" t="s">
        <v>30</v>
      </c>
      <c r="B46" s="27" t="str">
        <f>IF((C30-C40-C45)&gt;0,"Après prise en compte des précédentes factures et/ou avoirs, le solde comptable est en votre faveur de :","Après prise en compte des précédentes factures et/ou avoirs, le solde comptable est en notre faveur de :")</f>
        <v>Après prise en compte des précédentes factures et/ou avoirs, le solde comptable est en votre faveur de :</v>
      </c>
      <c r="C46" s="295">
        <f>IF(AND(C30-C40&gt;0,C45&lt;0),(-1*C45)+C44,IF(AND(C30-C40&gt;0,C44&gt;C45),C44-C45,IF(AND(C30-C40&gt;0,C44&lt;C45),C45-C44,IF(AND(C30-C40&lt;0,C45&lt;0),IF(-1*C45&gt;C44,(-1*C45)-C44,C44+(-1*C45)),IF(AND(C30-C40&lt;0,C45&gt;0),C44+C45,C44+C45)))))</f>
        <v>6496</v>
      </c>
      <c r="D46" s="271"/>
      <c r="E46" s="271"/>
      <c r="F46" s="271"/>
      <c r="G46" s="271"/>
      <c r="H46" s="272"/>
    </row>
    <row r="47" spans="1:9" s="87" customFormat="1" x14ac:dyDescent="0.35">
      <c r="A47" s="26"/>
      <c r="B47" s="25"/>
      <c r="C47" s="272"/>
      <c r="D47" s="271"/>
      <c r="E47" s="271"/>
      <c r="F47" s="271"/>
      <c r="G47" s="271"/>
      <c r="H47" s="272"/>
    </row>
    <row r="48" spans="1:9" s="87" customFormat="1" ht="14.65" thickBot="1" x14ac:dyDescent="0.4">
      <c r="A48" s="269"/>
      <c r="B48" s="272"/>
      <c r="C48" s="272"/>
      <c r="D48" s="271"/>
      <c r="E48" s="271"/>
      <c r="F48" s="271"/>
      <c r="G48" s="271"/>
      <c r="H48" s="272"/>
    </row>
    <row r="49" spans="1:9" s="87" customFormat="1" ht="14.65" thickBot="1" x14ac:dyDescent="0.4">
      <c r="A49" s="382" t="s">
        <v>29</v>
      </c>
      <c r="B49" s="383"/>
      <c r="C49" s="384"/>
      <c r="D49" s="297"/>
      <c r="E49" s="271"/>
      <c r="F49" s="271"/>
      <c r="G49" s="271"/>
      <c r="H49" s="270"/>
    </row>
    <row r="50" spans="1:9" s="87" customFormat="1" ht="49.5" customHeight="1" thickBot="1" x14ac:dyDescent="0.4">
      <c r="A50" s="385" t="str">
        <f>IF((C30-C40-C45)&gt;0,"Nous avons le plaisir de vous envoyer un règlement correspondant au solde comptable de :","Nous vous remercions de bien vouloir nous envoyer un règlement correspondant au solde comptable de :")</f>
        <v>Nous avons le plaisir de vous envoyer un règlement correspondant au solde comptable de :</v>
      </c>
      <c r="B50" s="386"/>
      <c r="C50" s="24">
        <f>+C46</f>
        <v>6496</v>
      </c>
      <c r="D50" s="89"/>
      <c r="E50" s="89"/>
      <c r="F50" s="90"/>
      <c r="G50" s="378"/>
      <c r="H50" s="378"/>
      <c r="I50" s="86"/>
    </row>
    <row r="51" spans="1:9" s="87" customFormat="1" ht="14.65" thickBot="1" x14ac:dyDescent="0.4">
      <c r="A51" s="269"/>
      <c r="B51" s="270"/>
      <c r="C51" s="270"/>
      <c r="D51" s="271"/>
      <c r="E51" s="271"/>
      <c r="F51" s="271"/>
      <c r="G51" s="271"/>
      <c r="H51" s="270"/>
      <c r="I51" s="86"/>
    </row>
    <row r="52" spans="1:9" s="87" customFormat="1" x14ac:dyDescent="0.35">
      <c r="A52" s="387" t="s">
        <v>69</v>
      </c>
      <c r="B52" s="388"/>
      <c r="C52" s="116" t="s">
        <v>70</v>
      </c>
      <c r="D52" s="280"/>
      <c r="E52" s="298"/>
      <c r="F52" s="298"/>
      <c r="G52" s="271"/>
      <c r="H52" s="270"/>
      <c r="I52" s="86"/>
    </row>
    <row r="53" spans="1:9" s="87" customFormat="1" x14ac:dyDescent="0.35">
      <c r="A53" s="389"/>
      <c r="B53" s="390"/>
      <c r="C53" s="117" t="s">
        <v>71</v>
      </c>
      <c r="D53" s="281"/>
      <c r="E53" s="271"/>
      <c r="F53" s="271"/>
      <c r="G53" s="271"/>
      <c r="H53" s="272"/>
    </row>
    <row r="54" spans="1:9" s="87" customFormat="1" ht="14.65" thickBot="1" x14ac:dyDescent="0.4">
      <c r="A54" s="391"/>
      <c r="B54" s="392"/>
      <c r="C54" s="118" t="s">
        <v>72</v>
      </c>
      <c r="D54" s="282"/>
      <c r="E54" s="271"/>
      <c r="F54" s="271"/>
      <c r="G54" s="271"/>
      <c r="H54" s="272"/>
    </row>
    <row r="55" spans="1:9" s="87" customFormat="1" x14ac:dyDescent="0.35">
      <c r="A55" s="269"/>
      <c r="B55" s="272"/>
      <c r="C55" s="272"/>
      <c r="D55" s="271"/>
      <c r="E55" s="271"/>
      <c r="F55" s="271"/>
      <c r="G55" s="271"/>
      <c r="H55" s="272"/>
    </row>
    <row r="56" spans="1:9" s="87" customFormat="1" ht="48" customHeight="1" x14ac:dyDescent="0.35">
      <c r="A56" s="377" t="s">
        <v>122</v>
      </c>
      <c r="B56" s="377"/>
      <c r="C56" s="377"/>
      <c r="D56" s="377"/>
      <c r="E56" s="377"/>
      <c r="F56" s="377"/>
      <c r="G56" s="377"/>
      <c r="H56" s="272"/>
    </row>
  </sheetData>
  <mergeCells count="9">
    <mergeCell ref="A56:G56"/>
    <mergeCell ref="G50:H50"/>
    <mergeCell ref="A16:G16"/>
    <mergeCell ref="A35:C35"/>
    <mergeCell ref="A43:C43"/>
    <mergeCell ref="A29:C29"/>
    <mergeCell ref="A49:C49"/>
    <mergeCell ref="A50:B50"/>
    <mergeCell ref="A52:B54"/>
  </mergeCells>
  <conditionalFormatting sqref="D17:D24">
    <cfRule type="cellIs" dxfId="19" priority="59" operator="greaterThan">
      <formula>-1</formula>
    </cfRule>
  </conditionalFormatting>
  <conditionalFormatting sqref="E18:F18">
    <cfRule type="cellIs" dxfId="18" priority="1" operator="greaterThan">
      <formula>-1</formula>
    </cfRule>
  </conditionalFormatting>
  <pageMargins left="0.70866141732283472" right="0.70866141732283472" top="1.5354330708661419" bottom="0.74803149606299213" header="1.6929133858267718" footer="0.31496062992125984"/>
  <pageSetup paperSize="9" scale="65" orientation="portrait" r:id="rId2"/>
  <headerFooter>
    <oddHeader>&amp;C               &amp;R Paris, Le &amp;D</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10"/>
  <dimension ref="A1:J66"/>
  <sheetViews>
    <sheetView topLeftCell="A31" zoomScaleNormal="100" workbookViewId="0">
      <selection activeCell="C27" sqref="C27"/>
    </sheetView>
  </sheetViews>
  <sheetFormatPr baseColWidth="10" defaultColWidth="11.3984375" defaultRowHeight="14.25" x14ac:dyDescent="0.45"/>
  <cols>
    <col min="1" max="1" customWidth="true" style="202" width="11.265625"/>
    <col min="2" max="2" customWidth="true" style="203" width="30.3984375"/>
    <col min="3" max="3" customWidth="true" style="203" width="30.59765625"/>
    <col min="4" max="4" customWidth="true" style="204" width="17.59765625"/>
    <col min="5" max="5" customWidth="true" style="204" width="18.73046875"/>
    <col min="6" max="6" customWidth="true" style="204" width="14.265625"/>
    <col min="7" max="7" customWidth="true" style="204" width="17.59765625"/>
    <col min="8" max="8" customWidth="true" style="203" width="14.265625"/>
    <col min="9" max="10" style="203" width="11.3984375"/>
    <col min="11" max="11" customWidth="true" style="203" width="19.265625"/>
    <col min="12" max="12" bestFit="true" customWidth="true" style="203" width="25.3984375"/>
    <col min="13" max="16384" style="203" width="11.3984375"/>
  </cols>
  <sheetData>
    <row r="1" spans="1:9" s="164" customFormat="1" x14ac:dyDescent="0.35">
      <c r="A1" s="161"/>
      <c r="B1" s="162"/>
      <c r="C1" s="162"/>
      <c r="D1" s="163"/>
      <c r="E1" s="163"/>
      <c r="F1" s="163"/>
      <c r="G1" s="163"/>
      <c r="H1" s="162"/>
      <c r="I1" s="162"/>
    </row>
    <row r="2" spans="1:9" s="164" customFormat="1" x14ac:dyDescent="0.35">
      <c r="A2" s="161"/>
      <c r="B2" s="162"/>
      <c r="C2" s="162"/>
      <c r="D2" s="163"/>
      <c r="E2" s="163"/>
      <c r="F2" s="163"/>
      <c r="G2" s="163"/>
      <c r="H2" s="162"/>
      <c r="I2" s="162"/>
    </row>
    <row r="3" spans="1:9" s="164" customFormat="1" x14ac:dyDescent="0.35">
      <c r="A3" s="161"/>
      <c r="B3" s="162"/>
      <c r="C3" s="162"/>
      <c r="D3" s="163"/>
      <c r="E3" s="163"/>
      <c r="F3" s="163"/>
      <c r="G3" s="163"/>
      <c r="H3" s="162"/>
      <c r="I3" s="162"/>
    </row>
    <row r="4" spans="1:9" s="164" customFormat="1" ht="18" x14ac:dyDescent="0.35">
      <c r="A4" s="161"/>
      <c r="B4" s="162"/>
      <c r="C4" s="162"/>
      <c r="D4" s="165"/>
      <c r="E4" s="165"/>
      <c r="F4" s="165"/>
      <c r="G4" s="163"/>
      <c r="H4" s="162"/>
      <c r="I4" s="162"/>
    </row>
    <row r="5" spans="1:9" s="164" customFormat="1" ht="18" x14ac:dyDescent="0.35">
      <c r="A5" s="161"/>
      <c r="B5" s="162"/>
      <c r="C5" s="162"/>
      <c r="D5" s="165"/>
      <c r="E5" s="165"/>
      <c r="F5" s="165"/>
      <c r="G5" s="163"/>
      <c r="H5" s="162"/>
      <c r="I5" s="162"/>
    </row>
    <row r="6" spans="1:9" s="164" customFormat="1" ht="18" x14ac:dyDescent="0.35">
      <c r="A6" s="161"/>
      <c r="B6" s="162"/>
      <c r="C6" s="162"/>
      <c r="D6" s="165"/>
      <c r="E6" s="165"/>
      <c r="F6" s="165"/>
      <c r="G6" s="163"/>
      <c r="H6" s="162"/>
      <c r="I6" s="162"/>
    </row>
    <row r="7" spans="1:9" s="164" customFormat="1" ht="18" x14ac:dyDescent="0.35">
      <c r="A7" s="161"/>
      <c r="B7" s="162"/>
      <c r="C7" s="162"/>
      <c r="D7" s="165"/>
      <c r="E7" s="165"/>
      <c r="F7" s="165"/>
      <c r="G7" s="163"/>
      <c r="H7" s="162"/>
      <c r="I7" s="162"/>
    </row>
    <row r="8" spans="1:9" s="164" customFormat="1" ht="18" x14ac:dyDescent="0.35">
      <c r="A8" s="161"/>
      <c r="B8" s="162"/>
      <c r="C8" s="162"/>
      <c r="D8" s="165"/>
      <c r="E8" s="165"/>
      <c r="F8" s="165"/>
      <c r="G8" s="163"/>
      <c r="H8" s="162"/>
      <c r="I8" s="162"/>
    </row>
    <row r="9" spans="1:9" s="164" customFormat="1" ht="18" x14ac:dyDescent="0.35">
      <c r="A9" s="161"/>
      <c r="B9" s="162"/>
      <c r="C9" s="162"/>
      <c r="D9" s="165"/>
      <c r="E9" s="165"/>
      <c r="F9" s="165"/>
      <c r="G9" s="163"/>
      <c r="H9" s="162"/>
      <c r="I9" s="162"/>
    </row>
    <row r="10" spans="1:9" s="164" customFormat="1" ht="18" x14ac:dyDescent="0.35">
      <c r="A10" s="161"/>
      <c r="B10" s="162"/>
      <c r="C10" s="162"/>
      <c r="D10" s="165"/>
      <c r="E10" s="165"/>
      <c r="F10" s="165"/>
      <c r="G10" s="163"/>
      <c r="H10" s="162"/>
      <c r="I10" s="162"/>
    </row>
    <row r="11" spans="1:9" s="164" customFormat="1" ht="18" x14ac:dyDescent="0.35">
      <c r="A11" s="161"/>
      <c r="B11" s="162"/>
      <c r="C11" s="166"/>
      <c r="D11" s="167"/>
      <c r="E11" s="167"/>
      <c r="F11" s="167"/>
      <c r="G11" s="167"/>
      <c r="H11" s="162"/>
      <c r="I11" s="162"/>
    </row>
    <row r="12" spans="1:9" s="164" customFormat="1" ht="18" x14ac:dyDescent="0.35">
      <c r="A12" s="302" t="s">
        <v>186</v>
      </c>
      <c r="B12" s="148">
        <f ca="1">TODAY()</f>
        <v>46128</v>
      </c>
      <c r="C12" s="166"/>
      <c r="D12" s="167"/>
      <c r="E12" s="167"/>
      <c r="F12" s="167"/>
      <c r="G12" s="167"/>
      <c r="H12" s="162"/>
      <c r="I12" s="162"/>
    </row>
    <row r="13" spans="1:9" s="164" customFormat="1" ht="18" x14ac:dyDescent="0.35">
      <c r="A13" s="161"/>
      <c r="B13" s="162"/>
      <c r="C13" s="166"/>
      <c r="D13" s="167"/>
      <c r="E13" s="167"/>
      <c r="F13" s="167"/>
      <c r="G13" s="168"/>
      <c r="H13" s="162"/>
      <c r="I13" s="162"/>
    </row>
    <row r="14" spans="1:9" s="164" customFormat="1" ht="18" x14ac:dyDescent="0.35">
      <c r="C14" s="166"/>
      <c r="D14" s="167"/>
      <c r="E14" s="167"/>
      <c r="F14" s="167"/>
      <c r="G14" s="167"/>
      <c r="H14" s="162"/>
      <c r="I14" s="162"/>
    </row>
    <row r="15" spans="1:9" s="164" customFormat="1" ht="18" x14ac:dyDescent="0.35">
      <c r="A15" s="161"/>
      <c r="B15" s="162"/>
      <c r="C15" s="166"/>
      <c r="D15" s="167"/>
      <c r="E15" s="167"/>
      <c r="F15" s="167"/>
      <c r="G15" s="167"/>
      <c r="H15" s="162"/>
      <c r="I15" s="162"/>
    </row>
    <row r="16" spans="1:9" s="164" customFormat="1" ht="18" x14ac:dyDescent="0.35">
      <c r="A16" s="161"/>
      <c r="B16" s="162"/>
      <c r="C16" s="166"/>
      <c r="D16" s="167" t="str">
        <f>Créances!H4</f>
        <v>FT TRADING</v>
      </c>
      <c r="E16" s="167"/>
      <c r="F16" s="167"/>
      <c r="G16" s="167"/>
      <c r="H16" s="162"/>
      <c r="I16" s="162"/>
    </row>
    <row r="17" spans="1:10" s="164" customFormat="1" ht="18" x14ac:dyDescent="0.35">
      <c r="A17" s="161"/>
      <c r="B17" s="162"/>
      <c r="C17" s="166"/>
      <c r="D17" s="167" t="str">
        <f>Créances!H8</f>
        <v>Monsieur Hikmet AVINCA</v>
      </c>
      <c r="E17" s="167"/>
      <c r="F17" s="167"/>
      <c r="G17" s="167"/>
      <c r="H17" s="162"/>
      <c r="I17" s="162"/>
    </row>
    <row r="18" spans="1:10" s="164" customFormat="1" ht="18" x14ac:dyDescent="0.35">
      <c r="A18" s="161"/>
      <c r="B18" s="162"/>
      <c r="C18" s="166"/>
      <c r="D18" s="167" t="str">
        <f>Créances!H5</f>
        <v>108, Avenue Gallieni</v>
      </c>
      <c r="E18" s="167"/>
      <c r="F18" s="167"/>
      <c r="G18" s="167"/>
      <c r="H18" s="162"/>
      <c r="I18" s="162"/>
    </row>
    <row r="19" spans="1:10" s="164" customFormat="1" ht="18" x14ac:dyDescent="0.35">
      <c r="A19" s="161"/>
      <c r="B19" s="162"/>
      <c r="C19" s="166"/>
      <c r="D19" s="167" t="str">
        <f>IF(Créances!H6="","",IF(Créances!H6=0,"",Créances!H6))</f>
        <v>93140 BONDY</v>
      </c>
      <c r="E19" s="168"/>
      <c r="F19" s="167"/>
      <c r="G19" s="167"/>
      <c r="H19" s="162"/>
      <c r="I19" s="162"/>
    </row>
    <row r="20" spans="1:10" s="164" customFormat="1" ht="18" x14ac:dyDescent="0.35">
      <c r="A20" s="161"/>
      <c r="B20" s="162"/>
      <c r="C20" s="166"/>
      <c r="D20" s="167" t="str">
        <f>IF(Créances!H7="","",IF(Créances!H7=0,"",Créances!H7))</f>
        <v/>
      </c>
      <c r="E20" s="168"/>
      <c r="F20" s="167"/>
      <c r="G20" s="167"/>
      <c r="H20" s="162"/>
      <c r="I20" s="162"/>
    </row>
    <row r="21" spans="1:10" s="164" customFormat="1" ht="18" x14ac:dyDescent="0.35">
      <c r="A21" s="161"/>
      <c r="B21" s="162"/>
      <c r="C21" s="166"/>
      <c r="E21" s="168"/>
      <c r="F21" s="167"/>
      <c r="G21" s="167"/>
      <c r="H21" s="162"/>
      <c r="I21" s="162"/>
    </row>
    <row r="22" spans="1:10" s="164" customFormat="1" ht="18" x14ac:dyDescent="0.35">
      <c r="A22" s="161"/>
      <c r="B22" s="162"/>
      <c r="C22" s="166"/>
      <c r="E22" s="168"/>
      <c r="F22" s="167"/>
      <c r="G22" s="167"/>
      <c r="H22" s="164" t="s">
        <v>76</v>
      </c>
      <c r="I22" s="164" t="s">
        <v>77</v>
      </c>
      <c r="J22" s="164" t="s">
        <v>78</v>
      </c>
    </row>
    <row r="23" spans="1:10" s="164" customFormat="1" ht="18" x14ac:dyDescent="0.35">
      <c r="A23" s="161"/>
      <c r="B23" s="162"/>
      <c r="C23" s="166"/>
      <c r="E23" s="168"/>
      <c r="F23" s="167"/>
      <c r="G23" s="167"/>
      <c r="I23" s="169"/>
      <c r="J23" s="169">
        <v>0</v>
      </c>
    </row>
    <row r="24" spans="1:10" s="164" customFormat="1" ht="18" x14ac:dyDescent="0.35">
      <c r="A24" s="161"/>
      <c r="C24" s="168"/>
      <c r="D24" s="167"/>
      <c r="E24" s="167"/>
      <c r="F24" s="167"/>
      <c r="G24" s="167"/>
      <c r="H24" s="128" t="s">
        <v>187</v>
      </c>
      <c r="I24" s="164">
        <v>1</v>
      </c>
      <c r="J24" s="164">
        <v>1</v>
      </c>
    </row>
    <row r="25" spans="1:10" s="164" customFormat="1" ht="18" x14ac:dyDescent="0.35">
      <c r="A25" s="161"/>
      <c r="C25" s="168"/>
      <c r="D25" s="167"/>
      <c r="E25" s="167"/>
      <c r="F25" s="167"/>
      <c r="G25" s="167"/>
      <c r="H25" s="128" t="s">
        <v>188</v>
      </c>
      <c r="I25" s="164">
        <v>3</v>
      </c>
      <c r="J25" s="164">
        <v>2</v>
      </c>
    </row>
    <row r="26" spans="1:10" s="164" customFormat="1" ht="18" x14ac:dyDescent="0.35">
      <c r="A26" s="161"/>
      <c r="C26" s="168"/>
      <c r="D26" s="167"/>
      <c r="E26" s="167"/>
      <c r="F26" s="167"/>
      <c r="G26" s="167"/>
      <c r="H26" s="128" t="s">
        <v>80</v>
      </c>
      <c r="I26" s="164">
        <v>5</v>
      </c>
      <c r="J26" s="164">
        <v>3</v>
      </c>
    </row>
    <row r="27" spans="1:10" s="164" customFormat="1" ht="18" x14ac:dyDescent="0.35">
      <c r="A27" s="161"/>
      <c r="C27" s="168"/>
      <c r="D27" s="167"/>
      <c r="E27" s="167"/>
      <c r="F27" s="167"/>
      <c r="G27" s="167"/>
      <c r="H27" s="128" t="s">
        <v>81</v>
      </c>
      <c r="I27" s="164">
        <v>10</v>
      </c>
      <c r="J27" s="164">
        <v>4</v>
      </c>
    </row>
    <row r="28" spans="1:10" s="164" customFormat="1" ht="18" x14ac:dyDescent="0.35">
      <c r="A28" s="161"/>
      <c r="C28" s="168"/>
      <c r="D28" s="167"/>
      <c r="E28" s="167"/>
      <c r="F28" s="167"/>
      <c r="G28" s="167"/>
      <c r="H28" s="128" t="s">
        <v>82</v>
      </c>
      <c r="I28" s="164">
        <v>15</v>
      </c>
      <c r="J28" s="164">
        <v>5</v>
      </c>
    </row>
    <row r="29" spans="1:10" s="164" customFormat="1" ht="14.65" thickBot="1" x14ac:dyDescent="0.4">
      <c r="A29" s="161"/>
      <c r="B29" s="162"/>
      <c r="C29" s="162"/>
      <c r="D29" s="163"/>
      <c r="E29" s="163"/>
      <c r="F29" s="163"/>
      <c r="G29" s="163"/>
      <c r="I29" s="164">
        <v>20</v>
      </c>
      <c r="J29" s="164">
        <v>6</v>
      </c>
    </row>
    <row r="30" spans="1:10" s="164" customFormat="1" ht="14.65" thickBot="1" x14ac:dyDescent="0.4">
      <c r="A30" s="161"/>
      <c r="C30" s="170" t="s">
        <v>40</v>
      </c>
      <c r="D30" s="171">
        <v>1501023</v>
      </c>
      <c r="E30" s="163"/>
      <c r="F30" s="163"/>
      <c r="G30" s="163"/>
      <c r="I30" s="164">
        <v>30</v>
      </c>
      <c r="J30" s="164">
        <v>7</v>
      </c>
    </row>
    <row r="31" spans="1:10" s="164" customFormat="1" x14ac:dyDescent="0.35">
      <c r="A31" s="161"/>
      <c r="B31" s="172"/>
      <c r="C31" s="173"/>
      <c r="D31" s="163"/>
      <c r="E31" s="163"/>
      <c r="F31" s="163"/>
      <c r="G31" s="163"/>
      <c r="I31" s="164">
        <v>60</v>
      </c>
      <c r="J31" s="164">
        <v>8</v>
      </c>
    </row>
    <row r="32" spans="1:10" s="164" customFormat="1" x14ac:dyDescent="0.35">
      <c r="A32" s="174" t="str">
        <f>Créances!A13</f>
        <v>Code Client : D93110</v>
      </c>
      <c r="B32" s="162"/>
      <c r="C32" s="162"/>
      <c r="D32" s="163"/>
      <c r="E32" s="163"/>
      <c r="F32" s="163"/>
      <c r="G32" s="163"/>
      <c r="I32" s="164">
        <v>100</v>
      </c>
      <c r="J32" s="164">
        <v>9</v>
      </c>
    </row>
    <row r="33" spans="1:10" s="164" customFormat="1" ht="14.65" thickBot="1" x14ac:dyDescent="0.4">
      <c r="A33" s="129"/>
      <c r="B33" s="129"/>
      <c r="C33" s="129"/>
      <c r="D33" s="130"/>
      <c r="E33" s="130"/>
      <c r="F33" s="130"/>
      <c r="G33" s="131"/>
      <c r="I33" s="164">
        <v>120</v>
      </c>
      <c r="J33" s="164">
        <v>10</v>
      </c>
    </row>
    <row r="34" spans="1:10" s="164" customFormat="1" ht="25.15" customHeight="1" thickTop="1" thickBot="1" x14ac:dyDescent="0.4">
      <c r="A34" s="132"/>
      <c r="B34" s="133" t="s">
        <v>83</v>
      </c>
      <c r="C34" s="134" t="s">
        <v>84</v>
      </c>
      <c r="D34" s="134" t="s">
        <v>85</v>
      </c>
      <c r="E34" s="134" t="s">
        <v>15</v>
      </c>
      <c r="F34" s="135"/>
      <c r="G34" s="136"/>
      <c r="I34" s="164">
        <v>200</v>
      </c>
      <c r="J34" s="164">
        <v>12</v>
      </c>
    </row>
    <row r="35" spans="1:10" s="164" customFormat="1" ht="25.15" customHeight="1" thickTop="1" x14ac:dyDescent="0.35">
      <c r="A35" s="132"/>
      <c r="B35" s="262" t="s">
        <v>79</v>
      </c>
      <c r="C35" s="263"/>
      <c r="D35" s="264"/>
      <c r="E35" s="264" t="str">
        <f t="shared" ref="E35:E42" si="0">IF(C35*D35=0,"",C35*D35)</f>
        <v/>
      </c>
      <c r="F35" s="135"/>
      <c r="G35" s="136"/>
      <c r="H35" s="164" t="s">
        <v>86</v>
      </c>
      <c r="I35" s="164">
        <v>250</v>
      </c>
      <c r="J35" s="164">
        <v>14</v>
      </c>
    </row>
    <row r="36" spans="1:10" s="164" customFormat="1" ht="25.15" customHeight="1" x14ac:dyDescent="0.35">
      <c r="A36" s="132"/>
      <c r="B36" s="262"/>
      <c r="C36" s="263"/>
      <c r="D36" s="264"/>
      <c r="E36" s="264" t="str">
        <f t="shared" si="0"/>
        <v/>
      </c>
      <c r="F36" s="135"/>
      <c r="G36" s="136"/>
      <c r="H36" s="164" t="s">
        <v>87</v>
      </c>
      <c r="I36" s="164">
        <v>500</v>
      </c>
      <c r="J36" s="164">
        <v>15</v>
      </c>
    </row>
    <row r="37" spans="1:10" s="164" customFormat="1" ht="25.15" customHeight="1" x14ac:dyDescent="0.35">
      <c r="A37" s="137"/>
      <c r="B37" s="262"/>
      <c r="C37" s="263"/>
      <c r="D37" s="264"/>
      <c r="E37" s="264" t="str">
        <f t="shared" si="0"/>
        <v/>
      </c>
      <c r="F37" s="137"/>
      <c r="G37" s="138"/>
      <c r="H37" s="164" t="s">
        <v>88</v>
      </c>
      <c r="I37" s="164">
        <v>1000</v>
      </c>
      <c r="J37" s="164">
        <v>16</v>
      </c>
    </row>
    <row r="38" spans="1:10" s="164" customFormat="1" ht="25.15" customHeight="1" x14ac:dyDescent="0.35">
      <c r="A38" s="137"/>
      <c r="B38" s="262"/>
      <c r="C38" s="263"/>
      <c r="D38" s="264"/>
      <c r="E38" s="264" t="str">
        <f t="shared" si="0"/>
        <v/>
      </c>
      <c r="F38" s="137"/>
      <c r="G38" s="138"/>
      <c r="H38" s="169"/>
      <c r="I38" s="164">
        <v>2500</v>
      </c>
      <c r="J38" s="164">
        <v>17</v>
      </c>
    </row>
    <row r="39" spans="1:10" s="164" customFormat="1" ht="25.15" customHeight="1" x14ac:dyDescent="0.35">
      <c r="A39" s="137"/>
      <c r="B39" s="262"/>
      <c r="C39" s="263"/>
      <c r="D39" s="264"/>
      <c r="E39" s="264" t="str">
        <f t="shared" si="0"/>
        <v/>
      </c>
      <c r="F39" s="137"/>
      <c r="G39" s="138"/>
      <c r="I39" s="164">
        <v>5000</v>
      </c>
      <c r="J39" s="164">
        <v>18</v>
      </c>
    </row>
    <row r="40" spans="1:10" s="164" customFormat="1" ht="25.15" customHeight="1" x14ac:dyDescent="0.35">
      <c r="A40" s="137"/>
      <c r="B40" s="262"/>
      <c r="C40" s="263"/>
      <c r="D40" s="264"/>
      <c r="E40" s="264" t="str">
        <f t="shared" si="0"/>
        <v/>
      </c>
      <c r="F40" s="137"/>
      <c r="G40" s="138"/>
      <c r="J40" s="164">
        <v>22</v>
      </c>
    </row>
    <row r="41" spans="1:10" s="164" customFormat="1" ht="25.15" customHeight="1" x14ac:dyDescent="0.35">
      <c r="A41" s="137"/>
      <c r="B41" s="262"/>
      <c r="C41" s="263"/>
      <c r="D41" s="264"/>
      <c r="E41" s="264" t="str">
        <f t="shared" si="0"/>
        <v/>
      </c>
      <c r="F41" s="137"/>
      <c r="G41" s="138"/>
      <c r="J41" s="164">
        <v>25</v>
      </c>
    </row>
    <row r="42" spans="1:10" s="164" customFormat="1" ht="25.15" customHeight="1" thickBot="1" x14ac:dyDescent="0.4">
      <c r="A42" s="137"/>
      <c r="B42" s="262"/>
      <c r="C42" s="263"/>
      <c r="D42" s="264"/>
      <c r="E42" s="264" t="str">
        <f t="shared" si="0"/>
        <v/>
      </c>
      <c r="F42" s="137"/>
      <c r="G42" s="138"/>
      <c r="J42" s="164">
        <v>30</v>
      </c>
    </row>
    <row r="43" spans="1:10" s="164" customFormat="1" ht="25.15" customHeight="1" thickTop="1" thickBot="1" x14ac:dyDescent="0.5">
      <c r="A43" s="137"/>
      <c r="B43" s="137"/>
      <c r="D43" s="175" t="s">
        <v>15</v>
      </c>
      <c r="E43" s="176">
        <f>SUM(E35:E42)</f>
        <v>0</v>
      </c>
      <c r="F43" s="137"/>
      <c r="G43" s="138"/>
      <c r="J43" s="164">
        <v>35</v>
      </c>
    </row>
    <row r="44" spans="1:10" s="164" customFormat="1" ht="25.15" customHeight="1" thickTop="1" thickBot="1" x14ac:dyDescent="0.5">
      <c r="A44" s="137"/>
      <c r="B44" s="137"/>
      <c r="D44" s="175" t="s">
        <v>89</v>
      </c>
      <c r="E44" s="176">
        <f>E43*20%</f>
        <v>0</v>
      </c>
      <c r="F44" s="137"/>
      <c r="G44" s="138"/>
      <c r="J44" s="164">
        <v>40</v>
      </c>
    </row>
    <row r="45" spans="1:10" s="164" customFormat="1" ht="25.15" customHeight="1" thickTop="1" thickBot="1" x14ac:dyDescent="0.5">
      <c r="A45" s="161"/>
      <c r="B45" s="177"/>
      <c r="D45" s="178" t="s">
        <v>16</v>
      </c>
      <c r="E45" s="179">
        <f>E43+E44</f>
        <v>0</v>
      </c>
      <c r="F45" s="163"/>
      <c r="J45" s="164">
        <v>60</v>
      </c>
    </row>
    <row r="46" spans="1:10" s="164" customFormat="1" ht="14.65" thickTop="1" x14ac:dyDescent="0.35">
      <c r="A46" s="180"/>
      <c r="B46" s="181"/>
      <c r="C46" s="182"/>
      <c r="D46" s="163"/>
      <c r="E46" s="163"/>
      <c r="F46" s="163"/>
      <c r="J46" s="164">
        <v>100</v>
      </c>
    </row>
    <row r="47" spans="1:10" s="164" customFormat="1" x14ac:dyDescent="0.35">
      <c r="A47" s="161"/>
      <c r="B47" s="183"/>
      <c r="C47" s="184"/>
      <c r="D47" s="185"/>
      <c r="E47" s="163"/>
      <c r="F47" s="163"/>
      <c r="G47" s="163"/>
      <c r="J47" s="164">
        <v>120</v>
      </c>
    </row>
    <row r="48" spans="1:10" s="164" customFormat="1" x14ac:dyDescent="0.35">
      <c r="A48" s="161"/>
      <c r="B48" s="186"/>
      <c r="C48" s="182"/>
      <c r="D48" s="163"/>
      <c r="E48" s="163"/>
      <c r="F48" s="163"/>
      <c r="G48" s="163"/>
      <c r="J48" s="164">
        <v>200</v>
      </c>
    </row>
    <row r="49" spans="1:10" s="164" customFormat="1" ht="15" customHeight="1" x14ac:dyDescent="0.35">
      <c r="A49" s="161"/>
      <c r="B49" s="186"/>
      <c r="C49" s="182"/>
      <c r="D49" s="163"/>
      <c r="E49" s="163"/>
      <c r="F49" s="163"/>
      <c r="G49" s="163"/>
      <c r="J49" s="164">
        <v>250</v>
      </c>
    </row>
    <row r="50" spans="1:10" s="164" customFormat="1" ht="15" customHeight="1" x14ac:dyDescent="0.35">
      <c r="A50" s="161"/>
      <c r="B50" s="186"/>
      <c r="C50" s="182"/>
      <c r="D50" s="163"/>
      <c r="E50" s="163"/>
      <c r="F50" s="163"/>
      <c r="G50" s="163"/>
      <c r="J50" s="164">
        <v>500</v>
      </c>
    </row>
    <row r="51" spans="1:10" s="164" customFormat="1" ht="15" customHeight="1" x14ac:dyDescent="0.35">
      <c r="A51" s="161"/>
      <c r="B51" s="187" t="str">
        <f>IF(C51="","","Déjà Réglé :")</f>
        <v/>
      </c>
      <c r="C51" s="188"/>
      <c r="D51" s="163"/>
      <c r="E51" s="163"/>
      <c r="F51" s="163"/>
      <c r="G51" s="163"/>
      <c r="J51" s="164">
        <v>300</v>
      </c>
    </row>
    <row r="52" spans="1:10" s="164" customFormat="1" ht="15" customHeight="1" x14ac:dyDescent="0.35">
      <c r="A52" s="161"/>
      <c r="B52" s="187" t="s">
        <v>87</v>
      </c>
      <c r="C52" s="188">
        <f>IF(B51="Déjà Réglé :",E45-C51,IF(B52="Facture réglée.","",E45))</f>
        <v>0</v>
      </c>
      <c r="D52" s="163"/>
      <c r="E52" s="163"/>
      <c r="F52" s="163"/>
      <c r="G52" s="163"/>
      <c r="J52" s="164">
        <v>500</v>
      </c>
    </row>
    <row r="53" spans="1:10" s="164" customFormat="1" ht="15" customHeight="1" x14ac:dyDescent="0.35">
      <c r="A53" s="161"/>
      <c r="B53" s="189" t="str">
        <f>IF(B52="Facture réglée.","","Par virement ou par chèque à l'ordre du Cabinet Phénix." )</f>
        <v>Par virement ou par chèque à l'ordre du Cabinet Phénix.</v>
      </c>
      <c r="C53" s="190"/>
      <c r="D53" s="163"/>
      <c r="E53" s="163"/>
      <c r="F53" s="163"/>
      <c r="G53" s="163"/>
      <c r="J53" s="164">
        <v>600</v>
      </c>
    </row>
    <row r="54" spans="1:10" s="164" customFormat="1" ht="15.75" x14ac:dyDescent="0.35">
      <c r="A54" s="161"/>
      <c r="B54" s="177"/>
      <c r="C54" s="182"/>
      <c r="D54" s="191"/>
      <c r="E54" s="163"/>
      <c r="F54" s="163"/>
      <c r="G54" s="163"/>
      <c r="J54" s="164">
        <v>1000</v>
      </c>
    </row>
    <row r="55" spans="1:10" s="164" customFormat="1" x14ac:dyDescent="0.35">
      <c r="A55" s="161"/>
      <c r="D55" s="163"/>
      <c r="E55" s="163"/>
      <c r="F55" s="163"/>
      <c r="G55" s="163"/>
      <c r="J55" s="164">
        <v>1900</v>
      </c>
    </row>
    <row r="56" spans="1:10" s="164" customFormat="1" ht="14.65" thickBot="1" x14ac:dyDescent="0.4">
      <c r="A56" s="161"/>
      <c r="D56" s="163"/>
      <c r="E56" s="163"/>
      <c r="F56" s="163"/>
      <c r="G56" s="163"/>
      <c r="J56" s="164">
        <v>2000</v>
      </c>
    </row>
    <row r="57" spans="1:10" s="164" customFormat="1" x14ac:dyDescent="0.35">
      <c r="A57" s="161"/>
      <c r="B57" s="192"/>
      <c r="C57" s="193" t="s">
        <v>70</v>
      </c>
      <c r="D57" s="194"/>
      <c r="E57" s="163"/>
      <c r="F57" s="163"/>
      <c r="G57" s="163"/>
    </row>
    <row r="58" spans="1:10" s="164" customFormat="1" ht="28.5" x14ac:dyDescent="0.35">
      <c r="A58" s="161"/>
      <c r="B58" s="195" t="s">
        <v>69</v>
      </c>
      <c r="C58" s="196" t="s">
        <v>71</v>
      </c>
      <c r="D58" s="197"/>
      <c r="E58" s="163"/>
      <c r="F58" s="163"/>
      <c r="G58" s="163"/>
      <c r="H58" s="162"/>
      <c r="I58" s="162"/>
    </row>
    <row r="59" spans="1:10" s="164" customFormat="1" ht="14.65" thickBot="1" x14ac:dyDescent="0.4">
      <c r="A59" s="161"/>
      <c r="B59" s="198"/>
      <c r="C59" s="199" t="s">
        <v>72</v>
      </c>
      <c r="D59" s="200"/>
      <c r="E59" s="163"/>
      <c r="F59" s="163"/>
      <c r="G59" s="163"/>
      <c r="H59" s="162"/>
      <c r="I59" s="162"/>
    </row>
    <row r="60" spans="1:10" s="164" customFormat="1" x14ac:dyDescent="0.35">
      <c r="A60" s="161"/>
      <c r="C60" s="201"/>
      <c r="E60" s="163"/>
      <c r="F60" s="163"/>
      <c r="G60" s="163"/>
      <c r="H60" s="162"/>
      <c r="I60" s="162"/>
    </row>
    <row r="61" spans="1:10" s="164" customFormat="1" x14ac:dyDescent="0.35">
      <c r="A61" s="161"/>
      <c r="B61" s="183"/>
      <c r="C61" s="184"/>
      <c r="D61" s="163"/>
      <c r="E61" s="163"/>
      <c r="F61" s="163"/>
      <c r="G61" s="163"/>
      <c r="H61" s="162"/>
      <c r="I61" s="162"/>
    </row>
    <row r="62" spans="1:10" s="164" customFormat="1" ht="15" customHeight="1" x14ac:dyDescent="0.35">
      <c r="A62" s="393" t="s">
        <v>122</v>
      </c>
      <c r="B62" s="393"/>
      <c r="C62" s="393"/>
      <c r="D62" s="393"/>
      <c r="E62" s="393"/>
      <c r="F62" s="393"/>
      <c r="G62" s="393"/>
      <c r="H62" s="162"/>
      <c r="I62" s="162"/>
    </row>
    <row r="63" spans="1:10" s="164" customFormat="1" ht="15" customHeight="1" x14ac:dyDescent="0.35">
      <c r="A63" s="393"/>
      <c r="B63" s="393"/>
      <c r="C63" s="393"/>
      <c r="D63" s="393"/>
      <c r="E63" s="393"/>
      <c r="F63" s="393"/>
      <c r="G63" s="393"/>
      <c r="H63" s="162"/>
      <c r="I63" s="162"/>
    </row>
    <row r="64" spans="1:10" s="164" customFormat="1" x14ac:dyDescent="0.35">
      <c r="A64" s="393"/>
      <c r="B64" s="393"/>
      <c r="C64" s="393"/>
      <c r="D64" s="393"/>
      <c r="E64" s="393"/>
      <c r="F64" s="393"/>
      <c r="G64" s="393"/>
    </row>
    <row r="65" spans="1:7" s="164" customFormat="1" ht="21.75" customHeight="1" x14ac:dyDescent="0.35">
      <c r="A65" s="393"/>
      <c r="B65" s="393"/>
      <c r="C65" s="393"/>
      <c r="D65" s="393"/>
      <c r="E65" s="393"/>
      <c r="F65" s="393"/>
      <c r="G65" s="393"/>
    </row>
    <row r="66" spans="1:7" s="164" customFormat="1" x14ac:dyDescent="0.35">
      <c r="A66" s="393"/>
      <c r="B66" s="393"/>
      <c r="C66" s="393"/>
      <c r="D66" s="393"/>
      <c r="E66" s="393"/>
      <c r="F66" s="393"/>
      <c r="G66" s="393"/>
    </row>
  </sheetData>
  <mergeCells count="1">
    <mergeCell ref="A62:G66"/>
  </mergeCells>
  <conditionalFormatting sqref="D33:D42">
    <cfRule type="cellIs" dxfId="17" priority="14" operator="greaterThan">
      <formula>-1</formula>
    </cfRule>
  </conditionalFormatting>
  <conditionalFormatting sqref="E34:F43">
    <cfRule type="cellIs" dxfId="16" priority="1" operator="greaterThan">
      <formula>-1</formula>
    </cfRule>
  </conditionalFormatting>
  <dataValidations count="4">
    <dataValidation type="list" allowBlank="1" showInputMessage="1" showErrorMessage="1" promptTitle="Indiquez la quantité" prompt="Choisissez une des quantités proposées ou tapez le vous-même" sqref="C35:C42" xr:uid="{00000000-0002-0000-0200-000000000000}">
      <formula1>Quantitesv</formula1>
    </dataValidation>
    <dataValidation type="list" allowBlank="1" showInputMessage="1" showErrorMessage="1" promptTitle="Choisir le PUHT" prompt="Choisir un des PUHT proposés ou le taper vous même" sqref="D35:D42" xr:uid="{00000000-0002-0000-0200-000001000000}">
      <formula1>puhtv</formula1>
    </dataValidation>
    <dataValidation type="list" allowBlank="1" showInputMessage="1" showErrorMessage="1" sqref="B52" xr:uid="{00000000-0002-0000-0200-000002000000}">
      <formula1>$H$36:$H$38</formula1>
    </dataValidation>
    <dataValidation type="list" errorStyle="information" allowBlank="1" showInputMessage="1" showErrorMessage="1" errorTitle="Oups" error="Ca marche quand même" promptTitle="Selectionner le service" prompt="Selectionner un des services proposés ou tapez le vous même " sqref="B35:B42" xr:uid="{00000000-0002-0000-0200-000003000000}">
      <formula1>produits</formula1>
    </dataValidation>
  </dataValidations>
  <pageMargins left="0.70866141732283472" right="0.70866141732283472" top="0" bottom="0.74803149606299213" header="0" footer="0.31496062992125984"/>
  <pageSetup paperSize="9" scale="63" orientation="portrait" r:id="rId1"/>
  <headerFooter>
    <oddHeader xml:space="preserve">&amp;C
&amp;G&amp;R
</oddHeader>
    <oddFooter>&amp;C&amp;G</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11"/>
  <dimension ref="A1:I67"/>
  <sheetViews>
    <sheetView topLeftCell="A21" zoomScaleNormal="100" workbookViewId="0">
      <selection activeCell="C25" sqref="C25"/>
    </sheetView>
  </sheetViews>
  <sheetFormatPr baseColWidth="10" defaultColWidth="11.3984375" defaultRowHeight="14.25" x14ac:dyDescent="0.45"/>
  <cols>
    <col min="1" max="1" customWidth="true" style="221" width="10.265625"/>
    <col min="2" max="2" customWidth="true" style="222" width="33.59765625"/>
    <col min="3" max="3" customWidth="true" style="222" width="37.73046875"/>
    <col min="4" max="4" customWidth="true" style="223" width="20.0"/>
    <col min="5" max="5" bestFit="true" customWidth="true" style="223" width="15.3984375"/>
    <col min="6" max="6" customWidth="true" style="223" width="14.265625"/>
    <col min="7" max="7" customWidth="true" style="223" width="13.3984375"/>
    <col min="8" max="8" customWidth="true" style="222" width="14.265625"/>
    <col min="9" max="10" style="222" width="11.3984375"/>
    <col min="11" max="11" customWidth="true" style="222" width="19.265625"/>
    <col min="12" max="12" customWidth="true" style="222" width="31.73046875"/>
    <col min="13" max="16384" style="222" width="11.3984375"/>
  </cols>
  <sheetData>
    <row r="1" spans="1:9" s="208" customFormat="1" x14ac:dyDescent="0.35">
      <c r="A1" s="205"/>
      <c r="B1" s="206"/>
      <c r="C1" s="206"/>
      <c r="D1" s="207"/>
      <c r="E1" s="207"/>
      <c r="F1" s="207"/>
      <c r="G1" s="207"/>
      <c r="H1" s="206"/>
      <c r="I1" s="206"/>
    </row>
    <row r="2" spans="1:9" s="208" customFormat="1" x14ac:dyDescent="0.35">
      <c r="A2" s="205"/>
      <c r="B2" s="206"/>
      <c r="C2" s="206"/>
      <c r="D2" s="207"/>
      <c r="E2" s="207"/>
      <c r="F2" s="207"/>
      <c r="G2" s="207"/>
      <c r="H2" s="206"/>
      <c r="I2" s="206"/>
    </row>
    <row r="3" spans="1:9" s="208" customFormat="1" x14ac:dyDescent="0.35">
      <c r="A3" s="205"/>
      <c r="B3" s="206"/>
      <c r="C3" s="206"/>
      <c r="D3" s="207"/>
      <c r="E3" s="207"/>
      <c r="F3" s="207"/>
      <c r="G3" s="207"/>
      <c r="H3" s="206"/>
      <c r="I3" s="206"/>
    </row>
    <row r="4" spans="1:9" s="208" customFormat="1" x14ac:dyDescent="0.35">
      <c r="A4" s="205"/>
      <c r="B4" s="206"/>
      <c r="C4" s="206"/>
      <c r="D4" s="207"/>
      <c r="E4" s="207"/>
      <c r="F4" s="207"/>
      <c r="G4" s="207"/>
      <c r="H4" s="206"/>
      <c r="I4" s="206"/>
    </row>
    <row r="5" spans="1:9" s="208" customFormat="1" x14ac:dyDescent="0.35">
      <c r="A5" s="205"/>
      <c r="B5" s="206"/>
      <c r="C5" s="206"/>
      <c r="D5" s="207"/>
      <c r="E5" s="207"/>
      <c r="F5" s="207"/>
      <c r="G5" s="207"/>
      <c r="H5" s="206"/>
      <c r="I5" s="206"/>
    </row>
    <row r="6" spans="1:9" s="208" customFormat="1" x14ac:dyDescent="0.35">
      <c r="A6" s="205"/>
      <c r="B6" s="206"/>
      <c r="C6" s="206"/>
      <c r="D6" s="207"/>
      <c r="E6" s="207"/>
      <c r="F6" s="207"/>
      <c r="G6" s="207"/>
      <c r="H6" s="206"/>
      <c r="I6" s="206"/>
    </row>
    <row r="7" spans="1:9" s="208" customFormat="1" x14ac:dyDescent="0.35">
      <c r="A7" s="205"/>
      <c r="B7" s="206"/>
      <c r="C7" s="206"/>
      <c r="D7" s="207"/>
      <c r="E7" s="207"/>
      <c r="F7" s="207"/>
      <c r="G7" s="207"/>
      <c r="H7" s="206"/>
      <c r="I7" s="206"/>
    </row>
    <row r="8" spans="1:9" s="208" customFormat="1" x14ac:dyDescent="0.35">
      <c r="A8" s="205"/>
      <c r="B8" s="206"/>
      <c r="C8" s="206"/>
      <c r="D8" s="207"/>
      <c r="E8" s="207"/>
      <c r="F8" s="207"/>
      <c r="G8" s="207"/>
      <c r="H8" s="206"/>
      <c r="I8" s="206"/>
    </row>
    <row r="9" spans="1:9" s="208" customFormat="1" x14ac:dyDescent="0.35">
      <c r="A9" s="205"/>
      <c r="B9" s="206"/>
      <c r="C9" s="206"/>
      <c r="D9" s="207"/>
      <c r="E9" s="207"/>
      <c r="F9" s="207"/>
      <c r="G9" s="207"/>
      <c r="H9" s="206"/>
      <c r="I9" s="206"/>
    </row>
    <row r="10" spans="1:9" s="208" customFormat="1" x14ac:dyDescent="0.35">
      <c r="A10" s="205"/>
      <c r="B10" s="206"/>
      <c r="C10" s="206"/>
      <c r="D10" s="207"/>
      <c r="E10" s="207"/>
      <c r="F10" s="207"/>
      <c r="G10" s="207"/>
      <c r="H10" s="206"/>
      <c r="I10" s="206"/>
    </row>
    <row r="11" spans="1:9" s="208" customFormat="1" x14ac:dyDescent="0.35">
      <c r="A11" s="205"/>
      <c r="B11" s="206"/>
      <c r="C11" s="206"/>
      <c r="D11" s="207"/>
      <c r="E11" s="207"/>
      <c r="F11" s="207"/>
      <c r="G11" s="207"/>
      <c r="H11" s="206"/>
      <c r="I11" s="206"/>
    </row>
    <row r="12" spans="1:9" s="208" customFormat="1" x14ac:dyDescent="0.35">
      <c r="A12" s="205"/>
      <c r="B12" s="206"/>
      <c r="C12" s="206"/>
      <c r="D12" s="207"/>
      <c r="E12" s="207"/>
      <c r="F12" s="207"/>
      <c r="G12" s="207"/>
      <c r="H12" s="206"/>
      <c r="I12" s="206"/>
    </row>
    <row r="13" spans="1:9" s="208" customFormat="1" x14ac:dyDescent="0.35">
      <c r="A13" s="205"/>
      <c r="B13" s="206"/>
      <c r="C13" s="206"/>
      <c r="D13" s="209"/>
      <c r="E13" s="209"/>
      <c r="F13" s="209"/>
      <c r="G13" s="210"/>
      <c r="H13" s="206"/>
      <c r="I13" s="206"/>
    </row>
    <row r="14" spans="1:9" s="208" customFormat="1" x14ac:dyDescent="0.35">
      <c r="A14" s="301" t="s">
        <v>186</v>
      </c>
      <c r="B14" s="211">
        <f ca="1">TODAY()</f>
        <v>46128</v>
      </c>
      <c r="C14" s="206"/>
      <c r="D14" s="209"/>
      <c r="E14" s="209"/>
      <c r="F14" s="209"/>
      <c r="G14" s="209"/>
      <c r="H14" s="206"/>
      <c r="I14" s="206"/>
    </row>
    <row r="15" spans="1:9" s="208" customFormat="1" x14ac:dyDescent="0.35">
      <c r="A15" s="205"/>
      <c r="B15" s="206"/>
      <c r="C15" s="206"/>
      <c r="D15" s="209"/>
      <c r="E15" s="209"/>
      <c r="F15" s="209"/>
      <c r="G15" s="209"/>
      <c r="H15" s="206"/>
      <c r="I15" s="206"/>
    </row>
    <row r="16" spans="1:9" s="208" customFormat="1" x14ac:dyDescent="0.35">
      <c r="A16" s="205"/>
      <c r="B16" s="206"/>
      <c r="C16" s="206"/>
      <c r="D16" s="209"/>
      <c r="E16" s="209"/>
      <c r="F16" s="209"/>
      <c r="G16" s="210"/>
    </row>
    <row r="17" spans="1:9" s="208" customFormat="1" x14ac:dyDescent="0.35">
      <c r="A17" s="205"/>
      <c r="B17" s="206"/>
      <c r="C17" s="206"/>
      <c r="D17" s="209"/>
      <c r="E17" s="209"/>
      <c r="F17" s="209"/>
      <c r="G17" s="210"/>
      <c r="I17" s="208" t="s">
        <v>90</v>
      </c>
    </row>
    <row r="18" spans="1:9" s="208" customFormat="1" x14ac:dyDescent="0.35">
      <c r="A18" s="205"/>
      <c r="B18" s="206"/>
      <c r="C18" s="206"/>
      <c r="D18" s="209"/>
      <c r="E18" s="209"/>
      <c r="F18" s="209"/>
      <c r="G18" s="210"/>
      <c r="H18" s="208" t="s">
        <v>91</v>
      </c>
      <c r="I18" s="212">
        <v>916.66665999999998</v>
      </c>
    </row>
    <row r="19" spans="1:9" s="208" customFormat="1" ht="18" x14ac:dyDescent="0.35">
      <c r="A19" s="205"/>
      <c r="B19" s="206"/>
      <c r="C19" s="206"/>
      <c r="D19" s="213" t="str">
        <f>Créances!H4</f>
        <v>FT TRADING</v>
      </c>
      <c r="F19" s="209"/>
      <c r="G19" s="210"/>
      <c r="I19" s="208">
        <v>50</v>
      </c>
    </row>
    <row r="20" spans="1:9" s="208" customFormat="1" ht="18" x14ac:dyDescent="0.35">
      <c r="A20" s="205"/>
      <c r="B20" s="206"/>
      <c r="C20" s="206"/>
      <c r="D20" s="213" t="str">
        <f>Créances!H8</f>
        <v>Monsieur Hikmet AVINCA</v>
      </c>
      <c r="F20" s="209"/>
      <c r="G20" s="210"/>
      <c r="H20" s="128" t="s">
        <v>92</v>
      </c>
      <c r="I20" s="208">
        <v>60</v>
      </c>
    </row>
    <row r="21" spans="1:9" s="208" customFormat="1" ht="18" x14ac:dyDescent="0.35">
      <c r="A21" s="205"/>
      <c r="B21" s="206"/>
      <c r="C21" s="206"/>
      <c r="D21" s="213" t="str">
        <f>Créances!H5</f>
        <v>108, Avenue Gallieni</v>
      </c>
      <c r="F21" s="209"/>
      <c r="G21" s="210"/>
      <c r="H21" s="128" t="s">
        <v>93</v>
      </c>
      <c r="I21" s="208">
        <v>70</v>
      </c>
    </row>
    <row r="22" spans="1:9" s="208" customFormat="1" ht="18" x14ac:dyDescent="0.35">
      <c r="A22" s="205"/>
      <c r="B22" s="206"/>
      <c r="C22" s="206"/>
      <c r="D22" s="213" t="str">
        <f>IF(Créances!H6="","",IF(Créances!H6=0,"",Créances!H6))</f>
        <v>93140 BONDY</v>
      </c>
      <c r="F22" s="209"/>
      <c r="G22" s="210"/>
      <c r="H22" s="128" t="s">
        <v>94</v>
      </c>
      <c r="I22" s="208">
        <v>75</v>
      </c>
    </row>
    <row r="23" spans="1:9" s="208" customFormat="1" ht="15.75" customHeight="1" x14ac:dyDescent="0.35">
      <c r="A23" s="205"/>
      <c r="B23" s="206"/>
      <c r="C23" s="206"/>
      <c r="D23" s="213" t="str">
        <f>IF(Créances!H7="","",IF(Créances!H7=0,"",Créances!H7))</f>
        <v/>
      </c>
      <c r="F23" s="209"/>
      <c r="G23" s="210"/>
      <c r="H23" s="128" t="s">
        <v>128</v>
      </c>
      <c r="I23" s="208">
        <v>75.25</v>
      </c>
    </row>
    <row r="24" spans="1:9" s="208" customFormat="1" x14ac:dyDescent="0.35">
      <c r="A24" s="205"/>
      <c r="D24" s="209"/>
      <c r="E24" s="209"/>
      <c r="F24" s="209"/>
      <c r="G24" s="210"/>
      <c r="I24" s="208">
        <v>76</v>
      </c>
    </row>
    <row r="25" spans="1:9" s="208" customFormat="1" x14ac:dyDescent="0.35">
      <c r="A25" s="205"/>
      <c r="D25" s="209"/>
      <c r="E25" s="209"/>
      <c r="F25" s="209"/>
      <c r="G25" s="210"/>
      <c r="I25" s="208">
        <v>77</v>
      </c>
    </row>
    <row r="26" spans="1:9" s="208" customFormat="1" x14ac:dyDescent="0.35">
      <c r="A26" s="303"/>
      <c r="B26" s="304"/>
      <c r="C26" s="304"/>
      <c r="D26" s="209"/>
      <c r="E26" s="209"/>
      <c r="F26" s="209"/>
      <c r="G26" s="210"/>
      <c r="I26" s="208">
        <v>78</v>
      </c>
    </row>
    <row r="27" spans="1:9" s="208" customFormat="1" x14ac:dyDescent="0.35">
      <c r="A27" s="303"/>
      <c r="B27" s="304"/>
      <c r="C27" s="304"/>
      <c r="D27" s="209"/>
      <c r="E27" s="209"/>
      <c r="F27" s="209"/>
      <c r="G27" s="210"/>
      <c r="I27" s="208">
        <v>79</v>
      </c>
    </row>
    <row r="28" spans="1:9" s="208" customFormat="1" x14ac:dyDescent="0.35">
      <c r="A28" s="303"/>
      <c r="B28" s="304"/>
      <c r="C28" s="304"/>
      <c r="D28" s="209"/>
      <c r="E28" s="209"/>
      <c r="F28" s="209"/>
      <c r="G28" s="210"/>
      <c r="H28" s="208" t="s">
        <v>86</v>
      </c>
      <c r="I28" s="208">
        <v>80</v>
      </c>
    </row>
    <row r="29" spans="1:9" s="208" customFormat="1" ht="14.65" thickBot="1" x14ac:dyDescent="0.4">
      <c r="A29" s="303"/>
      <c r="B29" s="305"/>
      <c r="C29" s="305"/>
      <c r="D29" s="306"/>
      <c r="E29" s="306"/>
      <c r="F29" s="306"/>
      <c r="G29" s="304"/>
      <c r="H29" s="208" t="s">
        <v>87</v>
      </c>
      <c r="I29" s="208">
        <v>85</v>
      </c>
    </row>
    <row r="30" spans="1:9" s="208" customFormat="1" ht="14.65" thickBot="1" x14ac:dyDescent="0.4">
      <c r="A30" s="303"/>
      <c r="B30" s="304"/>
      <c r="C30" s="307" t="s">
        <v>40</v>
      </c>
      <c r="D30" s="308">
        <v>1502525</v>
      </c>
      <c r="E30" s="306"/>
      <c r="F30" s="309"/>
      <c r="G30" s="304"/>
      <c r="H30" s="208" t="s">
        <v>88</v>
      </c>
      <c r="I30" s="208">
        <v>90</v>
      </c>
    </row>
    <row r="31" spans="1:9" s="208" customFormat="1" x14ac:dyDescent="0.35">
      <c r="A31" s="303"/>
      <c r="B31" s="310"/>
      <c r="C31" s="311"/>
      <c r="D31" s="306"/>
      <c r="E31" s="306"/>
      <c r="F31" s="306"/>
      <c r="G31" s="210"/>
      <c r="H31" s="212"/>
      <c r="I31" s="208">
        <v>95</v>
      </c>
    </row>
    <row r="32" spans="1:9" s="208" customFormat="1" x14ac:dyDescent="0.35">
      <c r="A32" s="312" t="str">
        <f>Créances!A13</f>
        <v>Code Client : D93110</v>
      </c>
      <c r="B32" s="305"/>
      <c r="C32" s="305"/>
      <c r="D32" s="306"/>
      <c r="E32" s="306"/>
      <c r="F32" s="306"/>
      <c r="G32" s="304"/>
      <c r="I32" s="208">
        <v>100</v>
      </c>
    </row>
    <row r="33" spans="1:9" s="208" customFormat="1" ht="14.65" thickBot="1" x14ac:dyDescent="0.4">
      <c r="A33" s="129"/>
      <c r="B33" s="129"/>
      <c r="C33" s="129"/>
      <c r="D33" s="130"/>
      <c r="E33" s="130"/>
      <c r="F33" s="130"/>
      <c r="G33" s="304"/>
      <c r="H33" s="208" t="s">
        <v>129</v>
      </c>
      <c r="I33" s="208">
        <v>120</v>
      </c>
    </row>
    <row r="34" spans="1:9" s="208" customFormat="1" ht="25.15" customHeight="1" thickBot="1" x14ac:dyDescent="0.4">
      <c r="A34" s="132"/>
      <c r="B34" s="313" t="s">
        <v>95</v>
      </c>
      <c r="C34" s="314" t="s">
        <v>96</v>
      </c>
      <c r="D34" s="314" t="s">
        <v>97</v>
      </c>
      <c r="E34" s="315"/>
      <c r="F34" s="135"/>
      <c r="G34" s="304"/>
      <c r="H34" s="208" t="s">
        <v>40</v>
      </c>
      <c r="I34" s="208">
        <v>150</v>
      </c>
    </row>
    <row r="35" spans="1:9" s="208" customFormat="1" ht="24.75" customHeight="1" x14ac:dyDescent="0.35">
      <c r="A35" s="132"/>
      <c r="B35" s="316" t="s">
        <v>92</v>
      </c>
      <c r="C35" s="317"/>
      <c r="D35" s="318">
        <v>5000</v>
      </c>
      <c r="E35" s="135"/>
      <c r="F35" s="135"/>
      <c r="G35" s="304"/>
      <c r="H35" s="208" t="s">
        <v>130</v>
      </c>
      <c r="I35" s="208">
        <v>180</v>
      </c>
    </row>
    <row r="36" spans="1:9" s="208" customFormat="1" ht="25.15" customHeight="1" x14ac:dyDescent="0.35">
      <c r="A36" s="132"/>
      <c r="B36" s="319"/>
      <c r="C36" s="317"/>
      <c r="D36" s="318"/>
      <c r="E36" s="135"/>
      <c r="F36" s="135"/>
      <c r="G36" s="304"/>
      <c r="H36" s="212"/>
      <c r="I36" s="208">
        <v>200</v>
      </c>
    </row>
    <row r="37" spans="1:9" s="208" customFormat="1" ht="25.15" customHeight="1" x14ac:dyDescent="0.35">
      <c r="A37" s="137"/>
      <c r="B37" s="319"/>
      <c r="C37" s="317"/>
      <c r="D37" s="318"/>
      <c r="E37" s="135"/>
      <c r="F37" s="137"/>
      <c r="G37" s="304"/>
      <c r="I37" s="208">
        <v>250</v>
      </c>
    </row>
    <row r="38" spans="1:9" s="208" customFormat="1" ht="25.15" customHeight="1" x14ac:dyDescent="0.35">
      <c r="A38" s="137"/>
      <c r="B38" s="319"/>
      <c r="C38" s="317"/>
      <c r="D38" s="318"/>
      <c r="E38" s="135"/>
      <c r="F38" s="137"/>
      <c r="G38" s="304"/>
      <c r="I38" s="208">
        <v>300</v>
      </c>
    </row>
    <row r="39" spans="1:9" s="208" customFormat="1" ht="25.15" customHeight="1" x14ac:dyDescent="0.35">
      <c r="A39" s="137"/>
      <c r="B39" s="319"/>
      <c r="C39" s="317"/>
      <c r="D39" s="318"/>
      <c r="E39" s="135"/>
      <c r="F39" s="137"/>
      <c r="G39" s="304"/>
      <c r="I39" s="208">
        <v>350</v>
      </c>
    </row>
    <row r="40" spans="1:9" s="208" customFormat="1" ht="25.15" customHeight="1" x14ac:dyDescent="0.35">
      <c r="A40" s="137"/>
      <c r="B40" s="319"/>
      <c r="C40" s="317"/>
      <c r="D40" s="318"/>
      <c r="E40" s="135"/>
      <c r="F40" s="137"/>
      <c r="G40" s="304"/>
      <c r="I40" s="208">
        <v>400</v>
      </c>
    </row>
    <row r="41" spans="1:9" s="208" customFormat="1" ht="25.15" customHeight="1" x14ac:dyDescent="0.35">
      <c r="A41" s="137"/>
      <c r="B41" s="319"/>
      <c r="C41" s="317"/>
      <c r="D41" s="318"/>
      <c r="E41" s="135"/>
      <c r="F41" s="137"/>
      <c r="G41" s="304"/>
      <c r="I41" s="208">
        <v>450</v>
      </c>
    </row>
    <row r="42" spans="1:9" s="208" customFormat="1" ht="25.15" customHeight="1" thickBot="1" x14ac:dyDescent="0.4">
      <c r="A42" s="137"/>
      <c r="B42" s="319"/>
      <c r="C42" s="317"/>
      <c r="D42" s="318"/>
      <c r="E42" s="135"/>
      <c r="F42" s="137"/>
      <c r="G42" s="304"/>
      <c r="I42" s="208">
        <v>500</v>
      </c>
    </row>
    <row r="43" spans="1:9" s="208" customFormat="1" ht="25.15" customHeight="1" thickTop="1" thickBot="1" x14ac:dyDescent="0.5">
      <c r="A43" s="137"/>
      <c r="B43" s="137"/>
      <c r="C43" s="175" t="s">
        <v>15</v>
      </c>
      <c r="D43" s="176">
        <f>SUM(D35:D42)</f>
        <v>5000</v>
      </c>
      <c r="E43" s="304"/>
      <c r="F43" s="137"/>
      <c r="G43" s="304"/>
      <c r="I43" s="208">
        <v>600</v>
      </c>
    </row>
    <row r="44" spans="1:9" s="208" customFormat="1" ht="25.15" customHeight="1" thickTop="1" thickBot="1" x14ac:dyDescent="0.5">
      <c r="A44" s="137"/>
      <c r="B44" s="137"/>
      <c r="C44" s="175" t="s">
        <v>89</v>
      </c>
      <c r="D44" s="178">
        <f>D43*20%</f>
        <v>1000</v>
      </c>
      <c r="E44" s="304"/>
      <c r="F44" s="137"/>
      <c r="G44" s="304"/>
      <c r="I44" s="208">
        <v>700</v>
      </c>
    </row>
    <row r="45" spans="1:9" s="208" customFormat="1" ht="25.15" customHeight="1" thickTop="1" thickBot="1" x14ac:dyDescent="0.5">
      <c r="A45" s="303"/>
      <c r="B45" s="320"/>
      <c r="C45" s="178" t="s">
        <v>16</v>
      </c>
      <c r="D45" s="178">
        <f>D43+D44</f>
        <v>6000</v>
      </c>
      <c r="E45" s="304"/>
      <c r="F45" s="306"/>
      <c r="G45" s="304"/>
      <c r="I45" s="208">
        <v>800</v>
      </c>
    </row>
    <row r="46" spans="1:9" s="208" customFormat="1" ht="14.65" thickTop="1" x14ac:dyDescent="0.35">
      <c r="A46" s="321"/>
      <c r="B46" s="322"/>
      <c r="C46" s="323"/>
      <c r="D46" s="306"/>
      <c r="E46" s="306"/>
      <c r="F46" s="306"/>
      <c r="G46" s="304"/>
      <c r="I46" s="208">
        <v>900</v>
      </c>
    </row>
    <row r="47" spans="1:9" s="208" customFormat="1" x14ac:dyDescent="0.35">
      <c r="A47" s="303"/>
      <c r="B47" s="324"/>
      <c r="C47" s="323"/>
      <c r="D47" s="306"/>
      <c r="E47" s="306"/>
      <c r="F47" s="306"/>
      <c r="G47" s="304"/>
      <c r="I47" s="208">
        <v>1000</v>
      </c>
    </row>
    <row r="48" spans="1:9" s="208" customFormat="1" x14ac:dyDescent="0.35">
      <c r="A48" s="303"/>
      <c r="B48" s="324"/>
      <c r="C48" s="323"/>
      <c r="D48" s="306"/>
      <c r="E48" s="306"/>
      <c r="F48" s="306"/>
      <c r="G48" s="304"/>
      <c r="I48" s="208">
        <v>1100</v>
      </c>
    </row>
    <row r="49" spans="1:9" s="208" customFormat="1" ht="15" customHeight="1" x14ac:dyDescent="0.35">
      <c r="A49" s="303"/>
      <c r="B49" s="320"/>
      <c r="C49" s="323"/>
      <c r="D49" s="325"/>
      <c r="E49" s="306"/>
      <c r="F49" s="306"/>
      <c r="G49" s="306"/>
      <c r="I49" s="208">
        <v>1200</v>
      </c>
    </row>
    <row r="50" spans="1:9" s="208" customFormat="1" ht="15" customHeight="1" x14ac:dyDescent="0.35">
      <c r="A50" s="303"/>
      <c r="B50" s="304"/>
      <c r="C50" s="304"/>
      <c r="D50" s="306"/>
      <c r="E50" s="306"/>
      <c r="F50" s="306"/>
      <c r="G50" s="306"/>
      <c r="I50" s="208">
        <v>1300</v>
      </c>
    </row>
    <row r="51" spans="1:9" s="208" customFormat="1" ht="15" customHeight="1" x14ac:dyDescent="0.35">
      <c r="A51" s="303"/>
      <c r="B51" s="214" t="str">
        <f>IF(C51="","","Déjà Réglé :")</f>
        <v/>
      </c>
      <c r="C51" s="215"/>
      <c r="D51" s="304"/>
      <c r="E51" s="306"/>
      <c r="F51" s="306"/>
      <c r="G51" s="306"/>
      <c r="I51" s="208">
        <v>1400</v>
      </c>
    </row>
    <row r="52" spans="1:9" s="208" customFormat="1" ht="15" customHeight="1" x14ac:dyDescent="0.35">
      <c r="A52" s="303"/>
      <c r="B52" s="216" t="s">
        <v>87</v>
      </c>
      <c r="C52" s="215">
        <f>IF(B51="Déjà Réglé :",D45-C51,IF(B52="Facture réglée.","",D45))</f>
        <v>6000</v>
      </c>
      <c r="D52" s="304"/>
      <c r="E52" s="306"/>
      <c r="F52" s="306"/>
      <c r="G52" s="306"/>
      <c r="I52" s="208">
        <v>1500</v>
      </c>
    </row>
    <row r="53" spans="1:9" s="208" customFormat="1" ht="15" customHeight="1" x14ac:dyDescent="0.35">
      <c r="A53" s="303"/>
      <c r="B53" s="216" t="str">
        <f>IF(B52="Facture réglée.","","Par virement ou par chèque à l'ordre du Cabinet Phénix." )</f>
        <v>Par virement ou par chèque à l'ordre du Cabinet Phénix.</v>
      </c>
      <c r="C53" s="326"/>
      <c r="D53" s="304"/>
      <c r="E53" s="306"/>
      <c r="F53" s="306"/>
      <c r="G53" s="306"/>
      <c r="I53" s="208">
        <v>1600</v>
      </c>
    </row>
    <row r="54" spans="1:9" s="208" customFormat="1" ht="15" customHeight="1" x14ac:dyDescent="0.35">
      <c r="A54" s="303"/>
      <c r="B54" s="320"/>
      <c r="C54" s="323"/>
      <c r="D54" s="304"/>
      <c r="E54" s="306"/>
      <c r="F54" s="306"/>
      <c r="G54" s="306"/>
      <c r="I54" s="208">
        <v>1700</v>
      </c>
    </row>
    <row r="55" spans="1:9" s="208" customFormat="1" x14ac:dyDescent="0.35">
      <c r="A55" s="303"/>
      <c r="B55" s="305"/>
      <c r="C55" s="305"/>
      <c r="D55" s="306"/>
      <c r="E55" s="306"/>
      <c r="F55" s="306"/>
      <c r="G55" s="306"/>
      <c r="H55" s="206"/>
      <c r="I55" s="208">
        <v>1800</v>
      </c>
    </row>
    <row r="56" spans="1:9" s="208" customFormat="1" ht="14.65" thickBot="1" x14ac:dyDescent="0.4">
      <c r="A56" s="304"/>
      <c r="B56" s="304"/>
      <c r="C56" s="304"/>
      <c r="D56" s="304"/>
      <c r="E56" s="327"/>
      <c r="F56" s="327"/>
      <c r="G56" s="306"/>
      <c r="H56" s="206"/>
      <c r="I56" s="208">
        <v>1900</v>
      </c>
    </row>
    <row r="57" spans="1:9" s="208" customFormat="1" x14ac:dyDescent="0.35">
      <c r="A57" s="328"/>
      <c r="B57" s="329"/>
      <c r="C57" s="217" t="s">
        <v>70</v>
      </c>
      <c r="D57" s="330"/>
      <c r="E57" s="306"/>
      <c r="F57" s="306"/>
      <c r="G57" s="306"/>
      <c r="H57" s="206"/>
      <c r="I57" s="208">
        <v>2000</v>
      </c>
    </row>
    <row r="58" spans="1:9" s="208" customFormat="1" ht="28.5" x14ac:dyDescent="0.35">
      <c r="A58" s="328"/>
      <c r="B58" s="331" t="s">
        <v>69</v>
      </c>
      <c r="C58" s="218" t="s">
        <v>71</v>
      </c>
      <c r="D58" s="332"/>
      <c r="E58" s="306"/>
      <c r="F58" s="306"/>
      <c r="G58" s="306"/>
      <c r="H58" s="206"/>
      <c r="I58" s="208">
        <v>2500</v>
      </c>
    </row>
    <row r="59" spans="1:9" s="208" customFormat="1" ht="14.65" thickBot="1" x14ac:dyDescent="0.4">
      <c r="A59" s="328"/>
      <c r="B59" s="333"/>
      <c r="C59" s="219" t="s">
        <v>72</v>
      </c>
      <c r="D59" s="334"/>
      <c r="E59" s="306"/>
      <c r="F59" s="306"/>
      <c r="G59" s="306"/>
      <c r="H59" s="206"/>
      <c r="I59" s="208">
        <v>3000</v>
      </c>
    </row>
    <row r="60" spans="1:9" s="208" customFormat="1" x14ac:dyDescent="0.35">
      <c r="A60" s="328"/>
      <c r="B60" s="328"/>
      <c r="C60" s="218"/>
      <c r="D60" s="306"/>
      <c r="E60" s="306"/>
      <c r="F60" s="306"/>
      <c r="G60" s="306"/>
      <c r="H60" s="220"/>
      <c r="I60" s="212">
        <v>5000</v>
      </c>
    </row>
    <row r="61" spans="1:9" s="208" customFormat="1" x14ac:dyDescent="0.35">
      <c r="A61" s="303"/>
      <c r="B61" s="304"/>
      <c r="C61" s="304"/>
      <c r="D61" s="306"/>
      <c r="E61" s="306"/>
      <c r="F61" s="306"/>
      <c r="G61" s="306"/>
      <c r="H61" s="206"/>
      <c r="I61" s="206"/>
    </row>
    <row r="62" spans="1:9" s="208" customFormat="1" ht="15.75" customHeight="1" x14ac:dyDescent="0.35">
      <c r="A62" s="394" t="str">
        <f>IF(C30="FACTURE No:",I63, "Ceci n’est pas une facture. Vous recevrez une facture de provision après votre règlement. En cas de demande de provision pour plusieurs affaires, nous vous remercions de nous préciser le nom des affaires.")</f>
        <v>Mentions Obligatoires : Tout retard de paiement entraînera une pénalité, égale au dernier taux de refinancement de la BCE, majoré de 10 points, calculé au prorata temporis sur les sommes restant dues (art L441-6 Code de Commerce). Tout professionnel en situation de retard de paiement est de plein droit débiteur, à l’égard du créancier, d’une indemnité forfaitaire pour frais de recouvrement d’un montant minimum fixé à 40€ par facture (art. L441-6 et art D.441-5 du Code de Commerce).</v>
      </c>
      <c r="B62" s="394"/>
      <c r="C62" s="394"/>
      <c r="D62" s="394"/>
      <c r="E62" s="394"/>
      <c r="F62" s="394"/>
      <c r="G62" s="394"/>
      <c r="H62" s="206"/>
      <c r="I62" s="206"/>
    </row>
    <row r="63" spans="1:9" s="208" customFormat="1" ht="15" customHeight="1" x14ac:dyDescent="0.35">
      <c r="A63" s="394"/>
      <c r="B63" s="394"/>
      <c r="C63" s="394"/>
      <c r="D63" s="394"/>
      <c r="E63" s="394"/>
      <c r="F63" s="394"/>
      <c r="G63" s="394"/>
      <c r="H63" s="206"/>
      <c r="I63" s="206" t="s">
        <v>122</v>
      </c>
    </row>
    <row r="64" spans="1:9" s="208" customFormat="1" x14ac:dyDescent="0.35">
      <c r="A64" s="394"/>
      <c r="B64" s="394"/>
      <c r="C64" s="394"/>
      <c r="D64" s="394"/>
      <c r="E64" s="394"/>
      <c r="F64" s="394"/>
      <c r="G64" s="394"/>
    </row>
    <row r="65" spans="1:7" s="208" customFormat="1" x14ac:dyDescent="0.35">
      <c r="A65" s="394"/>
      <c r="B65" s="394"/>
      <c r="C65" s="394"/>
      <c r="D65" s="394"/>
      <c r="E65" s="394"/>
      <c r="F65" s="394"/>
      <c r="G65" s="394"/>
    </row>
    <row r="66" spans="1:7" s="208" customFormat="1" x14ac:dyDescent="0.35">
      <c r="A66" s="394"/>
      <c r="B66" s="394"/>
      <c r="C66" s="394"/>
      <c r="D66" s="394"/>
      <c r="E66" s="394"/>
      <c r="F66" s="394"/>
      <c r="G66" s="394"/>
    </row>
    <row r="67" spans="1:7" s="208" customFormat="1" ht="12" customHeight="1" x14ac:dyDescent="0.35">
      <c r="A67" s="394"/>
      <c r="B67" s="394"/>
      <c r="C67" s="394"/>
      <c r="D67" s="394"/>
      <c r="E67" s="394"/>
      <c r="F67" s="394"/>
      <c r="G67" s="394"/>
    </row>
  </sheetData>
  <mergeCells count="1">
    <mergeCell ref="A62:G67"/>
  </mergeCells>
  <conditionalFormatting sqref="D33 E34:E42 F34:F43 D43">
    <cfRule type="cellIs" dxfId="15" priority="1" operator="greaterThan">
      <formula>-1</formula>
    </cfRule>
  </conditionalFormatting>
  <dataValidations count="5">
    <dataValidation type="list" allowBlank="1" showInputMessage="1" showErrorMessage="1" promptTitle="HT" prompt="Si le menu ne propose pas ce que vous souhaitez, il faut la saisir dans la celule jaune en I60" sqref="D35:D42" xr:uid="{00000000-0002-0000-0300-000000000000}">
      <formula1>$I$18:$I$60</formula1>
    </dataValidation>
    <dataValidation type="list" allowBlank="1" showInputMessage="1" showErrorMessage="1" prompt="Si le menu ne propose pas ce que vous souhaitez, il faut la saisir dans la celule jaune en H24" sqref="B35:B42" xr:uid="{00000000-0002-0000-0300-000001000000}">
      <formula1>Services</formula1>
    </dataValidation>
    <dataValidation type="list" allowBlank="1" showInputMessage="1" showErrorMessage="1" promptTitle="Conclusion" prompt="Si le menu ne propose pas ce que vous souhaitez, il faut la saisir dans la celule jaune en H31" sqref="B52" xr:uid="{00000000-0002-0000-0300-000002000000}">
      <formula1>$H$29:$H$31</formula1>
    </dataValidation>
    <dataValidation type="list" allowBlank="1" showInputMessage="1" showErrorMessage="1" promptTitle="Nature de document" prompt="Définissez si vous souhaitez envoyer une facture ou un appel à provision." sqref="H35:H36" xr:uid="{00000000-0002-0000-0300-000003000000}">
      <formula1>$H$34:$H$36</formula1>
    </dataValidation>
    <dataValidation type="list" allowBlank="1" showInputMessage="1" showErrorMessage="1" promptTitle="Nature du document" prompt="Définissez si vous souhaitez une facture ou un appel à provision._x000a_Si c'est une facture le numéro doit être saisie dans la cellule a coté._x000a_" sqref="C30" xr:uid="{00000000-0002-0000-0300-000004000000}">
      <formula1>$H$34:$H$36</formula1>
    </dataValidation>
  </dataValidations>
  <pageMargins left="0.43307086614173229" right="0.43307086614173229" top="0" bottom="0.74803149606299213" header="0" footer="0.31496062992125984"/>
  <pageSetup paperSize="9" scale="65" orientation="portrait" r:id="rId1"/>
  <headerFooter>
    <oddHeader xml:space="preserve">&amp;C&amp;G&amp;R
</oddHeader>
    <oddFooter>&amp;C&amp;G</oddFooter>
  </headerFooter>
  <legacyDrawingHF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5000000}">
          <x14:formula1>
            <xm:f>Créances!$G$17:$G$1000</xm:f>
          </x14:formula1>
          <xm:sqref>C35:C42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12"/>
  <dimension ref="A1:P68"/>
  <sheetViews>
    <sheetView topLeftCell="A51" zoomScaleNormal="100" workbookViewId="0">
      <selection activeCell="A61" sqref="A61"/>
    </sheetView>
  </sheetViews>
  <sheetFormatPr baseColWidth="10" defaultColWidth="11.3984375" defaultRowHeight="14.25" x14ac:dyDescent="0.45"/>
  <cols>
    <col min="1" max="1" customWidth="true" style="160" width="16.3984375"/>
    <col min="2" max="2" customWidth="true" style="159" width="35.59765625"/>
    <col min="3" max="3" customWidth="true" style="159" width="22.59765625"/>
    <col min="4" max="4" customWidth="true" style="158" width="25.265625"/>
    <col min="5" max="5" customWidth="true" style="158" width="27.3984375"/>
    <col min="6" max="6" customWidth="true" style="158" width="22.73046875"/>
    <col min="7" max="7" customWidth="true" style="158" width="17.73046875"/>
    <col min="8" max="8" customWidth="true" style="159" width="14.265625"/>
    <col min="9" max="9" style="159" width="11.3984375"/>
    <col min="10" max="10" customWidth="true" style="159" width="11.3984375"/>
    <col min="11" max="11" bestFit="true" customWidth="true" style="159" width="30.59765625"/>
    <col min="12" max="12" customWidth="true" style="159" width="31.73046875"/>
    <col min="13" max="13" customWidth="true" style="159" width="13.73046875"/>
    <col min="14" max="14" style="159" width="11.3984375"/>
    <col min="15" max="15" bestFit="true" customWidth="true" style="159" width="25.265625"/>
    <col min="16" max="16384" style="159" width="11.3984375"/>
  </cols>
  <sheetData>
    <row r="1" spans="1:9" s="145" customFormat="1" x14ac:dyDescent="0.35">
      <c r="A1" s="142"/>
      <c r="B1" s="143"/>
      <c r="C1" s="143"/>
      <c r="D1" s="144"/>
      <c r="E1" s="144"/>
      <c r="F1" s="144"/>
      <c r="G1" s="144"/>
      <c r="H1" s="143"/>
      <c r="I1" s="143"/>
    </row>
    <row r="2" spans="1:9" s="145" customFormat="1" x14ac:dyDescent="0.35">
      <c r="A2" s="142"/>
      <c r="B2" s="143"/>
      <c r="C2" s="143"/>
      <c r="D2" s="144"/>
      <c r="E2" s="144"/>
      <c r="F2" s="144"/>
      <c r="G2" s="144"/>
      <c r="H2" s="143"/>
      <c r="I2" s="143"/>
    </row>
    <row r="3" spans="1:9" s="145" customFormat="1" x14ac:dyDescent="0.35">
      <c r="A3" s="142"/>
      <c r="B3" s="143"/>
      <c r="C3" s="143"/>
      <c r="D3" s="144"/>
      <c r="E3" s="144"/>
      <c r="F3" s="144"/>
      <c r="G3" s="144"/>
      <c r="H3" s="143"/>
      <c r="I3" s="143"/>
    </row>
    <row r="4" spans="1:9" s="145" customFormat="1" ht="15.4" x14ac:dyDescent="0.35">
      <c r="A4" s="142"/>
      <c r="B4" s="143"/>
      <c r="C4" s="143"/>
      <c r="D4" s="144"/>
      <c r="E4" s="144"/>
      <c r="F4" s="144"/>
      <c r="G4" s="144"/>
      <c r="H4" s="143"/>
      <c r="I4" s="139"/>
    </row>
    <row r="5" spans="1:9" s="145" customFormat="1" x14ac:dyDescent="0.35">
      <c r="A5" s="142"/>
      <c r="B5" s="143"/>
      <c r="C5" s="143"/>
      <c r="D5" s="144"/>
      <c r="E5" s="144"/>
      <c r="F5" s="144"/>
      <c r="G5" s="144"/>
      <c r="H5" s="143"/>
      <c r="I5" s="143"/>
    </row>
    <row r="6" spans="1:9" s="145" customFormat="1" x14ac:dyDescent="0.35">
      <c r="A6" s="142"/>
      <c r="B6" s="143"/>
      <c r="C6" s="143"/>
      <c r="D6" s="144"/>
      <c r="E6" s="144"/>
      <c r="F6" s="144"/>
      <c r="G6" s="144"/>
      <c r="H6" s="143"/>
      <c r="I6" s="143"/>
    </row>
    <row r="7" spans="1:9" s="145" customFormat="1" x14ac:dyDescent="0.35">
      <c r="A7" s="142"/>
      <c r="B7" s="143"/>
      <c r="C7" s="143"/>
      <c r="D7" s="144"/>
      <c r="E7" s="144"/>
      <c r="F7" s="144"/>
      <c r="G7" s="144"/>
      <c r="H7" s="143"/>
      <c r="I7" s="143"/>
    </row>
    <row r="8" spans="1:9" s="145" customFormat="1" x14ac:dyDescent="0.35">
      <c r="A8" s="142"/>
      <c r="B8" s="143"/>
      <c r="C8" s="143"/>
      <c r="D8" s="144"/>
      <c r="E8" s="144"/>
      <c r="F8" s="144"/>
      <c r="G8" s="144"/>
      <c r="H8" s="143"/>
      <c r="I8" s="143"/>
    </row>
    <row r="9" spans="1:9" s="145" customFormat="1" x14ac:dyDescent="0.35">
      <c r="A9" s="142"/>
      <c r="B9" s="143"/>
      <c r="C9" s="143"/>
      <c r="D9" s="144"/>
      <c r="E9" s="144"/>
      <c r="F9" s="144"/>
      <c r="G9" s="144"/>
      <c r="H9" s="143"/>
      <c r="I9" s="143"/>
    </row>
    <row r="10" spans="1:9" s="145" customFormat="1" ht="18" x14ac:dyDescent="0.35">
      <c r="A10" s="142"/>
      <c r="B10" s="143"/>
      <c r="C10" s="143"/>
      <c r="D10" s="146"/>
      <c r="E10" s="146"/>
      <c r="F10" s="146"/>
      <c r="G10" s="144"/>
      <c r="H10" s="143"/>
      <c r="I10" s="143"/>
    </row>
    <row r="11" spans="1:9" s="145" customFormat="1" ht="18" x14ac:dyDescent="0.35">
      <c r="A11" s="142"/>
      <c r="B11" s="143"/>
      <c r="C11" s="143"/>
      <c r="D11" s="146"/>
      <c r="E11" s="146"/>
      <c r="F11" s="146"/>
      <c r="G11" s="144"/>
      <c r="H11" s="143"/>
      <c r="I11" s="143"/>
    </row>
    <row r="12" spans="1:9" s="145" customFormat="1" ht="18" x14ac:dyDescent="0.35">
      <c r="A12" s="142"/>
      <c r="B12" s="143"/>
      <c r="C12" s="143"/>
      <c r="D12" s="147"/>
      <c r="E12" s="147"/>
      <c r="F12" s="146"/>
      <c r="G12" s="144"/>
      <c r="H12" s="143"/>
      <c r="I12" s="143"/>
    </row>
    <row r="13" spans="1:9" s="145" customFormat="1" ht="18" x14ac:dyDescent="0.35">
      <c r="A13" s="142"/>
      <c r="B13" s="143"/>
      <c r="C13" s="143"/>
      <c r="D13" s="147"/>
      <c r="E13" s="147"/>
      <c r="F13" s="146"/>
      <c r="G13" s="144"/>
      <c r="H13" s="143"/>
      <c r="I13" s="143"/>
    </row>
    <row r="14" spans="1:9" s="145" customFormat="1" ht="18" x14ac:dyDescent="0.35">
      <c r="A14" s="224" t="s">
        <v>186</v>
      </c>
      <c r="B14" s="225">
        <f ca="1">TODAY()</f>
        <v>46128</v>
      </c>
      <c r="C14" s="339"/>
      <c r="D14" s="147"/>
      <c r="E14" s="147"/>
      <c r="F14" s="146"/>
      <c r="G14" s="144"/>
      <c r="H14" s="143"/>
      <c r="I14" s="143"/>
    </row>
    <row r="15" spans="1:9" s="145" customFormat="1" ht="18" x14ac:dyDescent="0.35">
      <c r="A15" s="340"/>
      <c r="B15" s="339"/>
      <c r="C15" s="339"/>
      <c r="D15" s="236"/>
      <c r="E15" s="147"/>
      <c r="F15" s="146"/>
      <c r="G15" s="144"/>
      <c r="H15" s="143"/>
      <c r="I15" s="143"/>
    </row>
    <row r="16" spans="1:9" s="145" customFormat="1" ht="18" x14ac:dyDescent="0.35">
      <c r="A16" s="340"/>
      <c r="B16" s="339"/>
      <c r="C16" s="236"/>
      <c r="D16" s="146" t="str">
        <f>Créances!H4</f>
        <v>FT TRADING</v>
      </c>
      <c r="E16" s="149"/>
      <c r="F16" s="146"/>
      <c r="G16" s="144"/>
      <c r="H16" s="143"/>
      <c r="I16" s="143"/>
    </row>
    <row r="17" spans="1:12" s="145" customFormat="1" ht="18" x14ac:dyDescent="0.35">
      <c r="A17" s="340"/>
      <c r="B17" s="339"/>
      <c r="C17" s="236"/>
      <c r="D17" s="146" t="str">
        <f>Créances!H8</f>
        <v>Monsieur Hikmet AVINCA</v>
      </c>
      <c r="E17" s="149"/>
      <c r="F17" s="146"/>
      <c r="G17" s="144"/>
      <c r="H17" s="143"/>
      <c r="I17" s="143"/>
      <c r="L17" s="128"/>
    </row>
    <row r="18" spans="1:12" s="145" customFormat="1" ht="18" x14ac:dyDescent="0.35">
      <c r="A18" s="340"/>
      <c r="B18" s="339"/>
      <c r="C18" s="236"/>
      <c r="D18" s="146" t="str">
        <f>Créances!H5</f>
        <v>108, Avenue Gallieni</v>
      </c>
      <c r="E18" s="149"/>
      <c r="F18" s="146"/>
      <c r="G18" s="144"/>
      <c r="H18" s="143"/>
      <c r="I18" s="143"/>
      <c r="L18" s="128"/>
    </row>
    <row r="19" spans="1:12" s="145" customFormat="1" ht="18" x14ac:dyDescent="0.35">
      <c r="A19" s="340"/>
      <c r="B19" s="339"/>
      <c r="C19" s="236"/>
      <c r="D19" s="146" t="str">
        <f>IF(Créances!H6="","",IF(Créances!H6=0,"",Créances!H6))</f>
        <v>93140 BONDY</v>
      </c>
      <c r="E19" s="149"/>
      <c r="F19" s="146"/>
      <c r="G19" s="144"/>
      <c r="H19" s="143"/>
      <c r="I19" s="143"/>
      <c r="L19" s="128"/>
    </row>
    <row r="20" spans="1:12" s="145" customFormat="1" ht="18" x14ac:dyDescent="0.35">
      <c r="A20" s="340"/>
      <c r="B20" s="339"/>
      <c r="C20" s="236"/>
      <c r="D20" s="146" t="str">
        <f>IF(Créances!H7="","",IF(Créances!H7=0,"",Créances!H7))</f>
        <v/>
      </c>
      <c r="E20" s="149"/>
      <c r="F20" s="146"/>
      <c r="G20" s="144"/>
      <c r="H20" s="143"/>
      <c r="I20" s="143"/>
      <c r="L20" s="128"/>
    </row>
    <row r="21" spans="1:12" s="145" customFormat="1" ht="18" x14ac:dyDescent="0.35">
      <c r="A21" s="340"/>
      <c r="B21" s="339"/>
      <c r="C21" s="339"/>
      <c r="D21" s="146"/>
      <c r="E21" s="149"/>
      <c r="F21" s="146"/>
      <c r="G21" s="144"/>
      <c r="H21" s="145" t="s">
        <v>113</v>
      </c>
      <c r="I21" s="143"/>
      <c r="L21" s="128"/>
    </row>
    <row r="22" spans="1:12" s="145" customFormat="1" ht="18" x14ac:dyDescent="0.35">
      <c r="A22" s="340"/>
      <c r="B22" s="339"/>
      <c r="C22" s="339"/>
      <c r="D22" s="146"/>
      <c r="E22" s="149"/>
      <c r="F22" s="146"/>
      <c r="G22" s="144"/>
      <c r="H22" s="145" t="s">
        <v>114</v>
      </c>
      <c r="I22" s="143"/>
      <c r="L22" s="128"/>
    </row>
    <row r="23" spans="1:12" s="145" customFormat="1" ht="18" x14ac:dyDescent="0.35">
      <c r="A23" s="340"/>
      <c r="B23" s="339"/>
      <c r="C23" s="339"/>
      <c r="D23" s="146"/>
      <c r="E23" s="149"/>
      <c r="F23" s="146"/>
      <c r="G23" s="144"/>
      <c r="H23" s="145" t="s">
        <v>98</v>
      </c>
      <c r="I23" s="143"/>
      <c r="L23" s="128"/>
    </row>
    <row r="24" spans="1:12" s="145" customFormat="1" ht="18" x14ac:dyDescent="0.35">
      <c r="A24" s="340"/>
      <c r="B24" s="339"/>
      <c r="C24" s="339"/>
      <c r="D24" s="146"/>
      <c r="E24" s="149"/>
      <c r="F24" s="146"/>
      <c r="G24" s="144"/>
      <c r="H24" s="145" t="s">
        <v>99</v>
      </c>
      <c r="I24" s="143"/>
      <c r="L24" s="128"/>
    </row>
    <row r="25" spans="1:12" s="145" customFormat="1" ht="18" x14ac:dyDescent="0.35">
      <c r="A25" s="340"/>
      <c r="B25" s="236"/>
      <c r="C25" s="236"/>
      <c r="D25" s="146"/>
      <c r="E25" s="146"/>
      <c r="F25" s="146"/>
      <c r="G25" s="144"/>
      <c r="H25" s="150"/>
      <c r="I25" s="143"/>
    </row>
    <row r="26" spans="1:12" s="145" customFormat="1" ht="18" x14ac:dyDescent="0.35">
      <c r="A26" s="340"/>
      <c r="B26" s="236"/>
      <c r="C26" s="236"/>
      <c r="D26" s="146"/>
      <c r="E26" s="146"/>
      <c r="F26" s="146"/>
      <c r="G26" s="144"/>
      <c r="H26" s="150"/>
      <c r="I26" s="143"/>
    </row>
    <row r="27" spans="1:12" s="145" customFormat="1" ht="18" x14ac:dyDescent="0.35">
      <c r="A27" s="340"/>
      <c r="B27" s="236"/>
      <c r="C27" s="236"/>
      <c r="D27" s="146"/>
      <c r="E27" s="146"/>
      <c r="F27" s="146"/>
      <c r="G27" s="144"/>
      <c r="H27" s="150"/>
      <c r="I27" s="143"/>
    </row>
    <row r="28" spans="1:12" s="145" customFormat="1" ht="18" x14ac:dyDescent="0.35">
      <c r="A28" s="340"/>
      <c r="B28" s="236"/>
      <c r="C28" s="236"/>
      <c r="D28" s="146"/>
      <c r="E28" s="146"/>
      <c r="F28" s="146"/>
      <c r="G28" s="144"/>
      <c r="I28" s="143"/>
    </row>
    <row r="29" spans="1:12" s="145" customFormat="1" ht="18" x14ac:dyDescent="0.35">
      <c r="A29" s="340"/>
      <c r="B29" s="236"/>
      <c r="C29" s="236"/>
      <c r="D29" s="147"/>
      <c r="E29" s="147"/>
      <c r="F29" s="147"/>
      <c r="G29" s="144"/>
      <c r="I29" s="143"/>
    </row>
    <row r="30" spans="1:12" s="145" customFormat="1" ht="18" x14ac:dyDescent="0.35">
      <c r="A30" s="340"/>
      <c r="B30" s="236"/>
      <c r="C30" s="236"/>
      <c r="D30" s="147"/>
      <c r="E30" s="147"/>
      <c r="F30" s="147"/>
      <c r="G30" s="144"/>
      <c r="I30" s="143"/>
    </row>
    <row r="31" spans="1:12" s="145" customFormat="1" ht="18" x14ac:dyDescent="0.35">
      <c r="A31" s="340"/>
      <c r="B31" s="236"/>
      <c r="C31" s="228" t="s">
        <v>100</v>
      </c>
      <c r="D31" s="147"/>
      <c r="E31" s="147"/>
      <c r="F31" s="147"/>
      <c r="G31" s="144"/>
      <c r="H31" s="145" t="s">
        <v>101</v>
      </c>
      <c r="I31" s="143"/>
    </row>
    <row r="32" spans="1:12" s="145" customFormat="1" ht="18" x14ac:dyDescent="0.35">
      <c r="A32" s="340"/>
      <c r="B32" s="339"/>
      <c r="C32" s="339"/>
      <c r="D32" s="147"/>
      <c r="E32" s="147"/>
      <c r="F32" s="147"/>
      <c r="G32" s="144"/>
      <c r="H32" s="145" t="s">
        <v>102</v>
      </c>
      <c r="I32" s="143"/>
    </row>
    <row r="33" spans="1:16" s="145" customFormat="1" ht="18" x14ac:dyDescent="0.35">
      <c r="A33" s="340"/>
      <c r="B33" s="339"/>
      <c r="C33" s="339"/>
      <c r="D33" s="147"/>
      <c r="E33" s="147"/>
      <c r="F33" s="147"/>
      <c r="G33" s="144"/>
      <c r="H33" s="145" t="s">
        <v>115</v>
      </c>
      <c r="I33" s="143"/>
    </row>
    <row r="34" spans="1:16" s="145" customFormat="1" ht="18" x14ac:dyDescent="0.35">
      <c r="A34" s="340"/>
      <c r="B34" s="339"/>
      <c r="C34" s="339"/>
      <c r="D34" s="147"/>
      <c r="E34" s="147"/>
      <c r="F34" s="147"/>
      <c r="G34" s="144"/>
      <c r="H34" s="145" t="s">
        <v>116</v>
      </c>
      <c r="I34" s="143"/>
    </row>
    <row r="35" spans="1:16" s="145" customFormat="1" ht="18" x14ac:dyDescent="0.35">
      <c r="A35" s="340"/>
      <c r="B35" s="339"/>
      <c r="C35" s="339"/>
      <c r="D35" s="147"/>
      <c r="E35" s="147"/>
      <c r="F35" s="147"/>
      <c r="G35" s="144"/>
      <c r="H35" s="145" t="s">
        <v>103</v>
      </c>
      <c r="I35" s="143"/>
    </row>
    <row r="36" spans="1:16" s="145" customFormat="1" ht="18" x14ac:dyDescent="0.35">
      <c r="A36" s="227" t="s">
        <v>104</v>
      </c>
      <c r="B36" s="341" t="s">
        <v>120</v>
      </c>
      <c r="C36" s="341"/>
      <c r="D36" s="147"/>
      <c r="E36" s="147"/>
      <c r="F36" s="147"/>
      <c r="G36" s="144"/>
      <c r="H36" s="145" t="s">
        <v>117</v>
      </c>
      <c r="I36" s="143"/>
    </row>
    <row r="37" spans="1:16" s="145" customFormat="1" ht="18" x14ac:dyDescent="0.35">
      <c r="A37" s="227" t="s">
        <v>105</v>
      </c>
      <c r="B37" s="149"/>
      <c r="C37" s="236"/>
      <c r="D37" s="342"/>
      <c r="E37" s="147"/>
      <c r="F37" s="147"/>
      <c r="G37" s="144"/>
      <c r="H37" s="145" t="s">
        <v>118</v>
      </c>
      <c r="I37" s="143"/>
      <c r="K37" s="154" t="s">
        <v>123</v>
      </c>
      <c r="L37" s="154" t="s">
        <v>124</v>
      </c>
    </row>
    <row r="38" spans="1:16" s="145" customFormat="1" ht="18" x14ac:dyDescent="0.35">
      <c r="A38" s="340"/>
      <c r="B38" s="236"/>
      <c r="C38" s="236"/>
      <c r="D38" s="147"/>
      <c r="E38" s="147"/>
      <c r="F38" s="147"/>
      <c r="G38" s="144"/>
      <c r="H38" s="143" t="s">
        <v>119</v>
      </c>
      <c r="I38" s="143"/>
      <c r="K38" s="154" t="str">
        <f>RIGHT(B37,6)</f>
        <v/>
      </c>
      <c r="L38" s="154"/>
      <c r="P38" s="155"/>
    </row>
    <row r="39" spans="1:16" s="145" customFormat="1" ht="18" x14ac:dyDescent="0.35">
      <c r="A39" s="343"/>
      <c r="B39" s="236"/>
      <c r="C39" s="339"/>
      <c r="D39" s="147"/>
      <c r="E39" s="147"/>
      <c r="F39" s="147"/>
      <c r="G39" s="144"/>
      <c r="H39" s="143" t="s">
        <v>120</v>
      </c>
      <c r="I39" s="143"/>
      <c r="K39" s="154" t="e">
        <f>LEFT(K38,4)+16</f>
        <v>#VALUE!</v>
      </c>
      <c r="L39" s="154"/>
    </row>
    <row r="40" spans="1:16" s="145" customFormat="1" ht="43.5" customHeight="1" x14ac:dyDescent="0.35">
      <c r="A40" s="344"/>
      <c r="B40" s="345" t="s">
        <v>106</v>
      </c>
      <c r="C40" s="346" t="s">
        <v>107</v>
      </c>
      <c r="D40" s="347" t="s">
        <v>108</v>
      </c>
      <c r="E40" s="347" t="s">
        <v>98</v>
      </c>
      <c r="F40" s="236"/>
      <c r="G40" s="131"/>
      <c r="H40" s="143" t="s">
        <v>121</v>
      </c>
      <c r="I40" s="143"/>
      <c r="K40" s="157" t="s">
        <v>125</v>
      </c>
      <c r="L40" s="157" t="s">
        <v>126</v>
      </c>
    </row>
    <row r="41" spans="1:16" s="145" customFormat="1" ht="56.25" customHeight="1" x14ac:dyDescent="0.35">
      <c r="A41" s="251"/>
      <c r="B41" s="348" t="e">
        <f ca="1">INDIRECT(CONCATENATE(K40,K39))</f>
        <v>#VALUE!</v>
      </c>
      <c r="C41" s="349" t="e">
        <f ca="1">INDIRECT(CONCATENATE(L40,K39)) - INDIRECT(CONCATENATE(L41,K39))</f>
        <v>#VALUE!</v>
      </c>
      <c r="D41" s="350"/>
      <c r="E41" s="351"/>
      <c r="F41" s="236"/>
      <c r="G41" s="143"/>
      <c r="L41" s="154" t="s">
        <v>127</v>
      </c>
    </row>
    <row r="42" spans="1:16" s="145" customFormat="1" ht="14.25" customHeight="1" x14ac:dyDescent="0.35">
      <c r="A42" s="251"/>
      <c r="B42" s="352"/>
      <c r="C42" s="353"/>
      <c r="D42" s="354"/>
      <c r="E42" s="355"/>
      <c r="F42" s="236"/>
      <c r="G42" s="143"/>
    </row>
    <row r="43" spans="1:16" s="145" customFormat="1" ht="24" customHeight="1" x14ac:dyDescent="0.35">
      <c r="A43" s="395" t="str">
        <f>IF(B36="Débiteur parti sans laisser d'adresse",("Attendu que  le débiteur cité ci-dessus est parti sans laisser d’adresse."),(IF(B36="Modicité de la créance",("Attendu que  le débiteur cité ci-dessus n’exécute pas son obligation de payer votre créance, malgré diverses actions menées par notre Cabinet."),(IF(B36="Insuffisance d'actif RJ",("Attendu que  le débiteur cité ci-dessus a été déclaré en redressement judiciaire."),(IF(B36="Insolvabilité du débiteur",("Attendu que votre débiteur cité ci-dessus ne réagit pas à nos multiples interventions."),(IF(B36="Forclusion LJ",("Attendu que  le débiteur cité ci-dessus a été déclaré en liquidation judiciaire. "),(IF(B36="Forclusion RJ",("Attendu que  le débiteur cité ci-dessus a été déclaré en redressement judiciaire. "),(IF(B36="Défaut de provision",("Attendu que votre débiteur  ne réagit pas à nos multiples interventions, en sorte qu’il serait nécessaire de requérir judiciairement sa condamnation."),(IF(B36="Défaut de réponse",("Attendu que nous avons besoin de vos réponses pour défendre vos intérêts dans cette affaire."),(IF(B36="Défaut de justificatifs",("Attendu que vous ne produisez pas de pièces justifiant le bienfondé de votre créance."),(IF(B36="Insuffisance d'actif LJ",("Attendu que  le débiteur cité ci-dessus a été déclaré en liquidation judiciaire."))))))))))))))))))))</f>
        <v>Attendu que nous avons besoin de vos réponses pour défendre vos intérêts dans cette affaire.</v>
      </c>
      <c r="B43" s="395"/>
      <c r="C43" s="395"/>
      <c r="D43" s="395"/>
      <c r="E43" s="395"/>
      <c r="F43" s="395"/>
      <c r="G43" s="143"/>
    </row>
    <row r="44" spans="1:16" s="145" customFormat="1" ht="25.15" customHeight="1" x14ac:dyDescent="0.55000000000000004">
      <c r="A44" s="356"/>
      <c r="B44" s="352"/>
      <c r="C44" s="339"/>
      <c r="D44" s="356"/>
      <c r="E44" s="356"/>
      <c r="F44" s="236"/>
      <c r="G44" s="143"/>
    </row>
    <row r="45" spans="1:16" s="145" customFormat="1" ht="32.25" customHeight="1" x14ac:dyDescent="0.35">
      <c r="A45" s="396" t="str">
        <f>IF(B36="Débiteur parti sans laisser d'adresse",("Attendu que les investigations pratiquées n’ont pas permis de localiser d’éventuels actifs saisissables lui appartenant."),(IF(B36="Modicité de la créance",("Attendu que la relative modicité de la somme restant due, ne permet pas raisonnablement d’exposer des frais judiciaires afin de requérir la condamnation du débiteur."),(IF(B36="Insuffisance d'actif RJ",("Attendu que les opérations de la procédure collective sont vouées à une clôture pour insuffisance d’actif."),(IF(B36="Insolvabilité du débiteur",("Attendu que les investigations pratiquées n’ont pas permis de révéler d’éventuels actifs saisissables lui appartenant, ce qui ne nous permet pas raisonnablement d’exposer des frais judiciaires."),(IF(B36="Forclusion LJ",("Attendu que les délais légaux pour déclarer votre créance ont expiré, votre créance est donc frappée de forclusion."),(IF(B36="Forclusion RJ",("Attendu que les délais légaux pour déclarer votre créance ont expiré, votre créance est donc frappée de forclusion."),(IF(B36="Défaut de provision",("Attendu qu’en l’état, à défaut d’engagement d’une procédure judiciaire, les voies de recouvrement à l’amiable ne peuvent pas  aboutir dans ce dossier."),(IF(B36="Défaut de réponse",("Attendu que vous n’avez pas produit les éléments  de réponse sollicités dans ce dossier, en sorte qu’il ne nous est pas possible de poursuivre une action de droit à l’encontre de votre débiteur."),(IF(B36="Défaut de justificatifs",("Compte tenu  de l’absence  de document signé ou  revêtu du cachet commercial de votre débiteur, justifiant d’un lien de droit entre les parties, nous ne pouvons valablement envisager une voie de droit à son encontre (cf. article 1315 du Code civil)."),(IF(B36="Insuffisance d'actif LJ",("Attendu que les opérations de la procédure collective sont vouées à une clôture pour insuffisance d’actif."))))))))))))))))))))</f>
        <v>Attendu que vous n’avez pas produit les éléments  de réponse sollicités dans ce dossier, en sorte qu’il ne nous est pas possible de poursuivre une action de droit à l’encontre de votre débiteur.</v>
      </c>
      <c r="B45" s="396"/>
      <c r="C45" s="396"/>
      <c r="D45" s="396"/>
      <c r="E45" s="396"/>
      <c r="F45" s="396"/>
      <c r="G45" s="143"/>
    </row>
    <row r="46" spans="1:16" s="145" customFormat="1" ht="2.25" customHeight="1" x14ac:dyDescent="0.35">
      <c r="A46" s="396"/>
      <c r="B46" s="396"/>
      <c r="C46" s="396"/>
      <c r="D46" s="396"/>
      <c r="E46" s="396"/>
      <c r="F46" s="396"/>
      <c r="G46" s="143"/>
    </row>
    <row r="47" spans="1:16" s="145" customFormat="1" ht="25.15" customHeight="1" x14ac:dyDescent="0.35">
      <c r="A47" s="358"/>
      <c r="B47" s="358"/>
      <c r="C47" s="358"/>
      <c r="D47" s="358"/>
      <c r="E47" s="358"/>
      <c r="F47" s="358"/>
      <c r="G47" s="143"/>
    </row>
    <row r="48" spans="1:16" s="145" customFormat="1" ht="34.5" customHeight="1" x14ac:dyDescent="0.35">
      <c r="A48" s="396" t="s">
        <v>109</v>
      </c>
      <c r="B48" s="396"/>
      <c r="C48" s="396"/>
      <c r="D48" s="396"/>
      <c r="E48" s="396"/>
      <c r="F48" s="396"/>
      <c r="G48" s="143"/>
      <c r="K48" s="155"/>
      <c r="L48" s="155"/>
    </row>
    <row r="49" spans="1:7" s="145" customFormat="1" ht="8.25" customHeight="1" x14ac:dyDescent="0.35">
      <c r="A49" s="396"/>
      <c r="B49" s="396"/>
      <c r="C49" s="396"/>
      <c r="D49" s="396"/>
      <c r="E49" s="396"/>
      <c r="F49" s="396"/>
      <c r="G49" s="143"/>
    </row>
    <row r="50" spans="1:7" s="145" customFormat="1" ht="8.25" customHeight="1" x14ac:dyDescent="0.35">
      <c r="A50" s="357"/>
      <c r="B50" s="357"/>
      <c r="C50" s="357"/>
      <c r="D50" s="357"/>
      <c r="E50" s="357"/>
      <c r="F50" s="357"/>
      <c r="G50" s="143"/>
    </row>
    <row r="51" spans="1:7" s="145" customFormat="1" ht="27" customHeight="1" x14ac:dyDescent="0.55000000000000004">
      <c r="A51" s="251"/>
      <c r="B51" s="251"/>
      <c r="C51" s="251"/>
      <c r="D51" s="356"/>
      <c r="E51" s="356"/>
      <c r="F51" s="339"/>
      <c r="G51" s="143"/>
    </row>
    <row r="52" spans="1:7" s="145" customFormat="1" ht="25.15" customHeight="1" x14ac:dyDescent="0.55000000000000004">
      <c r="A52" s="251"/>
      <c r="B52" s="359" t="s">
        <v>110</v>
      </c>
      <c r="C52" s="397" t="e">
        <f ca="1">B41</f>
        <v>#VALUE!</v>
      </c>
      <c r="D52" s="397"/>
      <c r="E52" s="356"/>
      <c r="F52" s="339"/>
      <c r="G52" s="143"/>
    </row>
    <row r="53" spans="1:7" ht="18" x14ac:dyDescent="0.55000000000000004">
      <c r="A53" s="251"/>
      <c r="B53" s="359" t="s">
        <v>111</v>
      </c>
      <c r="C53" s="398" t="e">
        <f ca="1">C41</f>
        <v>#VALUE!</v>
      </c>
      <c r="D53" s="398"/>
      <c r="E53" s="252"/>
      <c r="F53" s="252"/>
    </row>
    <row r="54" spans="1:7" ht="18" x14ac:dyDescent="0.55000000000000004">
      <c r="A54" s="251"/>
      <c r="B54" s="251"/>
      <c r="C54" s="251"/>
      <c r="D54" s="252"/>
      <c r="E54" s="252"/>
      <c r="F54" s="252"/>
    </row>
    <row r="55" spans="1:7" ht="18" x14ac:dyDescent="0.55000000000000004">
      <c r="A55" s="251"/>
      <c r="B55" s="251"/>
      <c r="C55" s="251"/>
      <c r="D55" s="252"/>
      <c r="E55" s="252"/>
      <c r="F55" s="252"/>
    </row>
    <row r="56" spans="1:7" ht="18" x14ac:dyDescent="0.55000000000000004">
      <c r="A56" s="251" t="s">
        <v>112</v>
      </c>
      <c r="B56" s="249"/>
      <c r="C56" s="251"/>
      <c r="D56" s="252"/>
      <c r="E56" s="252"/>
      <c r="F56" s="252"/>
    </row>
    <row r="57" spans="1:7" ht="18" x14ac:dyDescent="0.55000000000000004">
      <c r="A57" s="251"/>
      <c r="B57" s="249"/>
      <c r="C57" s="251"/>
      <c r="D57" s="252"/>
      <c r="E57" s="252"/>
      <c r="F57" s="252"/>
    </row>
    <row r="58" spans="1:7" ht="18" x14ac:dyDescent="0.55000000000000004">
      <c r="A58" s="251"/>
      <c r="B58" s="249"/>
      <c r="C58" s="251"/>
      <c r="D58" s="252"/>
      <c r="E58" s="252"/>
      <c r="F58" s="252"/>
    </row>
    <row r="59" spans="1:7" ht="18" x14ac:dyDescent="0.55000000000000004">
      <c r="A59" s="360"/>
      <c r="B59" s="249"/>
      <c r="C59" s="251"/>
      <c r="D59" s="252"/>
      <c r="E59" s="252"/>
      <c r="F59" s="252"/>
    </row>
    <row r="60" spans="1:7" ht="18" x14ac:dyDescent="0.55000000000000004">
      <c r="A60" s="251" t="s">
        <v>192</v>
      </c>
      <c r="B60" s="249"/>
      <c r="C60" s="251"/>
      <c r="D60" s="252"/>
      <c r="E60" s="252"/>
      <c r="F60" s="252"/>
    </row>
    <row r="61" spans="1:7" ht="18" x14ac:dyDescent="0.55000000000000004">
      <c r="A61" s="251" t="s">
        <v>193</v>
      </c>
      <c r="B61" s="251"/>
      <c r="C61" s="251"/>
      <c r="D61" s="252"/>
      <c r="E61" s="252"/>
      <c r="F61" s="252"/>
    </row>
    <row r="62" spans="1:7" ht="18" x14ac:dyDescent="0.55000000000000004">
      <c r="A62" s="356"/>
      <c r="B62" s="251"/>
      <c r="C62" s="251"/>
      <c r="D62" s="252"/>
      <c r="E62" s="252"/>
      <c r="F62" s="252"/>
    </row>
    <row r="63" spans="1:7" ht="18" x14ac:dyDescent="0.55000000000000004">
      <c r="A63" s="251"/>
      <c r="B63" s="251"/>
      <c r="C63" s="251"/>
      <c r="D63" s="252"/>
      <c r="E63" s="252"/>
      <c r="F63" s="252"/>
    </row>
    <row r="64" spans="1:7" x14ac:dyDescent="0.45">
      <c r="A64" s="268"/>
      <c r="B64" s="266"/>
      <c r="C64" s="266"/>
      <c r="D64" s="265"/>
      <c r="E64" s="265"/>
      <c r="F64" s="265"/>
    </row>
    <row r="65" spans="1:6" x14ac:dyDescent="0.45">
      <c r="A65" s="268"/>
      <c r="B65" s="266"/>
      <c r="C65" s="266"/>
      <c r="D65" s="265"/>
      <c r="E65" s="265"/>
      <c r="F65" s="265"/>
    </row>
    <row r="66" spans="1:6" x14ac:dyDescent="0.45">
      <c r="A66" s="267"/>
      <c r="B66" s="266"/>
      <c r="C66" s="266"/>
      <c r="D66" s="265"/>
      <c r="E66" s="265"/>
      <c r="F66" s="265"/>
    </row>
    <row r="67" spans="1:6" x14ac:dyDescent="0.45">
      <c r="A67" s="267"/>
      <c r="B67" s="266"/>
      <c r="C67" s="266"/>
      <c r="D67" s="265"/>
      <c r="E67" s="265"/>
      <c r="F67" s="265"/>
    </row>
    <row r="68" spans="1:6" x14ac:dyDescent="0.45">
      <c r="A68" s="267"/>
      <c r="B68" s="266"/>
      <c r="C68" s="266"/>
      <c r="D68" s="265"/>
      <c r="E68" s="265"/>
      <c r="F68" s="265"/>
    </row>
  </sheetData>
  <mergeCells count="5">
    <mergeCell ref="A43:F43"/>
    <mergeCell ref="A45:F46"/>
    <mergeCell ref="A48:F49"/>
    <mergeCell ref="C52:D52"/>
    <mergeCell ref="C53:D53"/>
  </mergeCells>
  <conditionalFormatting sqref="C40:E40 C41 C42:D42 D44 D51">
    <cfRule type="cellIs" dxfId="14" priority="1" operator="greaterThan">
      <formula>-1</formula>
    </cfRule>
  </conditionalFormatting>
  <dataValidations count="2">
    <dataValidation type="list" allowBlank="1" showInputMessage="1" showErrorMessage="1" sqref="B36" xr:uid="{00000000-0002-0000-0400-000000000000}">
      <formula1>$H$31:$H$42</formula1>
    </dataValidation>
    <dataValidation type="list" allowBlank="1" showInputMessage="1" showErrorMessage="1" promptTitle="Dates" prompt="Si le menu ne propose pas ce que vous souhaitez, il faut la saisir dans la celule jaune en H28" sqref="E40" xr:uid="{00000000-0002-0000-0400-000001000000}">
      <formula1>$H$21:$H$25</formula1>
    </dataValidation>
  </dataValidations>
  <pageMargins left="0.43307086614173229" right="0.43307086614173229" top="0" bottom="0.70866141732283472" header="0" footer="0.31496062992125984"/>
  <pageSetup paperSize="9" scale="63" orientation="portrait" horizontalDpi="4294967293" r:id="rId1"/>
  <headerFooter>
    <oddHeader xml:space="preserve">&amp;C
&amp;G&amp;R
</oddHeader>
    <oddFooter>&amp;C&amp;G</oddFooter>
  </headerFooter>
  <drawing r:id="rId2"/>
  <legacyDrawingHF r:id="rId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2000000}">
          <x14:formula1>
            <xm:f>Créances!$G$17:$G$1000</xm:f>
          </x14:formula1>
          <xm:sqref>B42</xm:sqref>
        </x14:dataValidation>
        <x14:dataValidation type="list" allowBlank="1" showInputMessage="1" showErrorMessage="1" xr:uid="{00000000-0002-0000-0400-000003000000}">
          <x14:formula1>
            <xm:f>Créances!$F$17:$F$1000</xm:f>
          </x14:formula1>
          <xm:sqref>B37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3">
    <pageSetUpPr fitToPage="1"/>
  </sheetPr>
  <dimension ref="A1:K50"/>
  <sheetViews>
    <sheetView zoomScaleNormal="100" workbookViewId="0">
      <selection activeCell="B30" sqref="B30"/>
    </sheetView>
  </sheetViews>
  <sheetFormatPr baseColWidth="10" defaultRowHeight="12.75" x14ac:dyDescent="0.35"/>
  <cols>
    <col min="1" max="1" customWidth="true" style="1" width="13.73046875"/>
    <col min="2" max="2" customWidth="true" style="1" width="11.265625"/>
    <col min="3" max="3" customWidth="true" style="1" width="14.265625"/>
    <col min="4" max="4" customWidth="true" style="1" width="17.265625"/>
    <col min="5" max="5" customWidth="true" style="1" width="13.59765625"/>
    <col min="6" max="6" customWidth="true" style="1" width="18.3984375"/>
    <col min="7" max="7" customWidth="true" width="26.73046875"/>
    <col min="8" max="8" bestFit="true" customWidth="true" width="16.0"/>
    <col min="9" max="9" customWidth="true" width="39.3984375"/>
    <col min="10" max="10" customWidth="true" style="1" width="15.265625"/>
    <col min="11" max="11" customWidth="true" style="1" width="14.265625"/>
  </cols>
  <sheetData>
    <row r="1" spans="1:11" s="48" customFormat="1" x14ac:dyDescent="0.35">
      <c r="A1" s="91"/>
      <c r="B1" s="91"/>
      <c r="C1" s="91"/>
      <c r="D1" s="91"/>
      <c r="E1" s="91"/>
      <c r="F1" s="91"/>
      <c r="J1" s="91"/>
      <c r="K1" s="91"/>
    </row>
    <row r="2" spans="1:11" s="48" customFormat="1" x14ac:dyDescent="0.35">
      <c r="A2" s="91"/>
      <c r="B2" s="91"/>
      <c r="C2" s="91"/>
      <c r="D2" s="91"/>
      <c r="E2" s="91"/>
      <c r="F2" s="91"/>
      <c r="J2" s="91"/>
      <c r="K2" s="91"/>
    </row>
    <row r="3" spans="1:11" s="48" customFormat="1" x14ac:dyDescent="0.35">
      <c r="A3" s="91"/>
      <c r="B3" s="91"/>
      <c r="C3" s="91"/>
      <c r="D3" s="91"/>
      <c r="E3" s="91"/>
      <c r="F3" s="91"/>
      <c r="J3" s="91"/>
      <c r="K3" s="91"/>
    </row>
    <row r="4" spans="1:11" s="48" customFormat="1" x14ac:dyDescent="0.35">
      <c r="A4" s="91"/>
      <c r="B4" s="91"/>
      <c r="C4" s="91"/>
      <c r="D4" s="91"/>
      <c r="E4" s="91"/>
      <c r="F4" s="91"/>
      <c r="J4" s="91"/>
      <c r="K4" s="91"/>
    </row>
    <row r="5" spans="1:11" s="48" customFormat="1" x14ac:dyDescent="0.35">
      <c r="A5" s="91"/>
      <c r="B5" s="91"/>
      <c r="C5" s="91"/>
      <c r="D5" s="91"/>
      <c r="E5" s="91"/>
      <c r="F5" s="91"/>
      <c r="J5" s="91"/>
      <c r="K5" s="91"/>
    </row>
    <row r="6" spans="1:11" s="48" customFormat="1" x14ac:dyDescent="0.35">
      <c r="A6" s="91"/>
      <c r="B6" s="91"/>
      <c r="C6" s="91"/>
      <c r="D6" s="91"/>
      <c r="E6" s="91"/>
      <c r="F6" s="91"/>
      <c r="J6" s="91"/>
      <c r="K6" s="91"/>
    </row>
    <row r="7" spans="1:11" s="48" customFormat="1" x14ac:dyDescent="0.35">
      <c r="A7" s="91"/>
      <c r="B7" s="91"/>
      <c r="C7" s="91"/>
      <c r="D7" s="91"/>
      <c r="E7" s="91"/>
      <c r="F7" s="91"/>
      <c r="J7" s="91"/>
      <c r="K7" s="91"/>
    </row>
    <row r="8" spans="1:11" s="48" customFormat="1" x14ac:dyDescent="0.35">
      <c r="A8" s="91"/>
      <c r="B8" s="91"/>
      <c r="C8" s="91"/>
      <c r="D8" s="91"/>
      <c r="E8" s="91"/>
      <c r="F8" s="91"/>
      <c r="J8" s="91"/>
      <c r="K8" s="91"/>
    </row>
    <row r="9" spans="1:11" s="48" customFormat="1" x14ac:dyDescent="0.35">
      <c r="A9" s="91"/>
      <c r="B9" s="91"/>
      <c r="C9" s="91"/>
      <c r="D9" s="91"/>
      <c r="E9" s="91"/>
      <c r="F9" s="91"/>
      <c r="J9" s="91"/>
      <c r="K9" s="91"/>
    </row>
    <row r="10" spans="1:11" s="48" customFormat="1" x14ac:dyDescent="0.35">
      <c r="A10" s="91"/>
      <c r="B10" s="91"/>
      <c r="C10" s="91"/>
      <c r="D10" s="91"/>
      <c r="E10" s="91"/>
      <c r="F10" s="91"/>
      <c r="J10" s="91"/>
      <c r="K10" s="91"/>
    </row>
    <row r="11" spans="1:11" s="48" customFormat="1" x14ac:dyDescent="0.35">
      <c r="A11" s="91"/>
      <c r="B11" s="91"/>
      <c r="C11" s="91"/>
      <c r="D11" s="91"/>
      <c r="E11" s="91"/>
      <c r="F11" s="91"/>
      <c r="J11" s="91"/>
      <c r="K11" s="91"/>
    </row>
    <row r="12" spans="1:11" s="48" customFormat="1" x14ac:dyDescent="0.35">
      <c r="A12" s="92" t="str">
        <f>'Facture en préparation'!E5</f>
        <v>FT TRADING</v>
      </c>
      <c r="B12" s="91"/>
      <c r="C12" s="91"/>
      <c r="D12" s="91"/>
      <c r="E12" s="91"/>
      <c r="F12" s="91"/>
      <c r="J12" s="91"/>
      <c r="K12" s="91"/>
    </row>
    <row r="13" spans="1:11" s="48" customFormat="1" x14ac:dyDescent="0.35">
      <c r="A13" s="92" t="str">
        <f>'Facture en préparation'!E6</f>
        <v>108, Avenue Gallieni</v>
      </c>
      <c r="B13" s="91"/>
      <c r="C13" s="91"/>
      <c r="D13" s="91"/>
      <c r="E13" s="91"/>
      <c r="F13" s="91"/>
      <c r="J13" s="91"/>
      <c r="K13" s="91"/>
    </row>
    <row r="14" spans="1:11" s="48" customFormat="1" x14ac:dyDescent="0.35">
      <c r="A14" s="92" t="str">
        <f>'Facture en préparation'!E7</f>
        <v>93140 BONDY</v>
      </c>
      <c r="B14" s="91"/>
      <c r="C14" s="91"/>
      <c r="D14" s="91"/>
      <c r="E14" s="91"/>
      <c r="F14" s="91"/>
      <c r="J14" s="91"/>
      <c r="K14" s="91"/>
    </row>
    <row r="15" spans="1:11" s="48" customFormat="1" x14ac:dyDescent="0.35">
      <c r="A15" s="92" t="str">
        <f>'Facture en préparation'!E8</f>
        <v/>
      </c>
      <c r="B15" s="91"/>
      <c r="C15" s="91"/>
      <c r="D15" s="91"/>
      <c r="E15" s="91"/>
      <c r="F15" s="91"/>
      <c r="J15" s="91"/>
      <c r="K15" s="91"/>
    </row>
    <row r="16" spans="1:11" s="48" customFormat="1" x14ac:dyDescent="0.35">
      <c r="A16" s="92" t="str">
        <f>'Facture en préparation'!E9</f>
        <v>Monsieur Hikmet AVINCA</v>
      </c>
      <c r="B16" s="91"/>
      <c r="C16" s="91"/>
      <c r="D16" s="91"/>
      <c r="E16" s="91"/>
      <c r="F16" s="91"/>
      <c r="J16" s="91"/>
      <c r="K16" s="91"/>
    </row>
    <row r="17" spans="1:11" s="48" customFormat="1" x14ac:dyDescent="0.35">
      <c r="A17" s="91"/>
      <c r="B17" s="91"/>
      <c r="C17" s="91"/>
      <c r="D17" s="91"/>
      <c r="E17" s="91"/>
      <c r="F17" s="91"/>
      <c r="J17" s="91"/>
      <c r="K17" s="91"/>
    </row>
    <row r="18" spans="1:11" s="48" customFormat="1" x14ac:dyDescent="0.35">
      <c r="A18" s="91"/>
      <c r="B18" s="91"/>
      <c r="C18" s="91"/>
      <c r="D18" s="91"/>
      <c r="E18" s="91"/>
      <c r="F18" s="91"/>
      <c r="J18" s="91"/>
      <c r="K18" s="91"/>
    </row>
    <row r="19" spans="1:11" s="48" customFormat="1" x14ac:dyDescent="0.35">
      <c r="A19" s="50" t="str">
        <f>'Facture en préparation'!$A$15</f>
        <v>Code Client : D93110</v>
      </c>
      <c r="B19" s="91"/>
      <c r="C19" s="91"/>
      <c r="D19" s="91"/>
      <c r="E19" s="91"/>
      <c r="F19" s="91"/>
      <c r="J19" s="91"/>
      <c r="K19" s="91"/>
    </row>
    <row r="20" spans="1:11" s="48" customFormat="1" x14ac:dyDescent="0.35">
      <c r="A20" s="93" t="s">
        <v>49</v>
      </c>
      <c r="B20" s="93" t="s">
        <v>1</v>
      </c>
      <c r="C20" s="93" t="s">
        <v>19</v>
      </c>
      <c r="D20" s="93" t="s">
        <v>20</v>
      </c>
      <c r="E20" s="93" t="s">
        <v>0</v>
      </c>
      <c r="F20" s="93" t="s">
        <v>2</v>
      </c>
      <c r="G20" s="93" t="s">
        <v>41</v>
      </c>
      <c r="H20" s="93" t="s">
        <v>48</v>
      </c>
      <c r="I20" s="93" t="s">
        <v>46</v>
      </c>
      <c r="J20" s="93" t="s">
        <v>4</v>
      </c>
      <c r="K20" s="93" t="s">
        <v>3</v>
      </c>
    </row>
    <row r="21" spans="1:11" s="48" customFormat="1" x14ac:dyDescent="0.35">
      <c r="A21" s="91">
        <v>1</v>
      </c>
      <c r="B21" s="91" t="s">
        <v>53</v>
      </c>
      <c r="C21" s="91">
        <v>40680</v>
      </c>
      <c r="D21" s="91">
        <v>7</v>
      </c>
      <c r="E21" s="48" t="s">
        <v>54</v>
      </c>
      <c r="F21" s="48" t="s">
        <v>55</v>
      </c>
      <c r="G21" s="94">
        <v>29599.97</v>
      </c>
      <c r="H21" s="48">
        <v>8028.18</v>
      </c>
      <c r="I21" s="48">
        <v>4014.09</v>
      </c>
      <c r="J21" s="48" t="s">
        <v>56</v>
      </c>
      <c r="K21" s="48" t="s">
        <v>43</v>
      </c>
    </row>
    <row r="22" spans="1:11" s="48" customFormat="1" x14ac:dyDescent="0.35">
      <c r="A22" s="1"/>
      <c r="B22" s="1"/>
      <c r="C22" s="1"/>
      <c r="D22" s="1"/>
      <c r="E22" s="1"/>
      <c r="F22" s="1"/>
      <c r="G22" s="0"/>
      <c r="H22" s="0"/>
      <c r="I22" s="0"/>
      <c r="J22" s="1"/>
      <c r="K22" s="1"/>
    </row>
    <row r="23" spans="1:11" s="48" customFormat="1" x14ac:dyDescent="0.35">
      <c r="A23" s="1"/>
      <c r="B23" s="1"/>
      <c r="C23" s="1"/>
      <c r="D23" s="1"/>
      <c r="E23" s="1"/>
      <c r="F23" s="1"/>
      <c r="G23" s="0"/>
      <c r="H23" s="0"/>
      <c r="I23" s="0"/>
      <c r="J23" s="1"/>
      <c r="K23" s="1"/>
    </row>
    <row r="24" spans="1:11" s="48" customFormat="1" x14ac:dyDescent="0.35">
      <c r="A24" s="91"/>
      <c r="B24" s="91"/>
      <c r="C24" s="91"/>
      <c r="D24" s="91"/>
      <c r="E24" s="91"/>
      <c r="F24" s="91"/>
      <c r="J24" s="91"/>
      <c r="K24" s="91"/>
    </row>
    <row r="25" spans="1:11" s="48" customFormat="1" x14ac:dyDescent="0.35">
      <c r="A25" s="91"/>
      <c r="B25" s="91"/>
      <c r="C25" s="91"/>
      <c r="D25" s="91"/>
      <c r="E25" s="91"/>
      <c r="F25" s="91"/>
      <c r="J25" s="91"/>
      <c r="K25" s="91"/>
    </row>
    <row r="26" spans="1:11" s="48" customFormat="1" x14ac:dyDescent="0.35">
      <c r="A26" s="91"/>
      <c r="B26" s="91"/>
      <c r="C26" s="91"/>
      <c r="D26" s="91"/>
      <c r="E26" s="91"/>
      <c r="F26" s="91"/>
      <c r="J26" s="91"/>
      <c r="K26" s="91"/>
    </row>
    <row r="27" spans="1:11" s="48" customFormat="1" x14ac:dyDescent="0.35">
      <c r="A27" s="91"/>
      <c r="B27" s="91"/>
      <c r="C27" s="91"/>
      <c r="D27" s="91"/>
      <c r="E27" s="91"/>
      <c r="F27" s="91"/>
      <c r="J27" s="91"/>
      <c r="K27" s="91"/>
    </row>
    <row r="28" spans="1:11" s="48" customFormat="1" x14ac:dyDescent="0.35">
      <c r="A28" s="91"/>
      <c r="B28" s="91"/>
      <c r="C28" s="91"/>
      <c r="D28" s="91"/>
      <c r="E28" s="91"/>
      <c r="F28" s="91"/>
      <c r="J28" s="91"/>
      <c r="K28" s="91"/>
    </row>
    <row r="29" spans="1:11" s="48" customFormat="1" x14ac:dyDescent="0.35">
      <c r="A29" s="91"/>
      <c r="B29" s="91"/>
      <c r="C29" s="91"/>
      <c r="D29" s="91"/>
      <c r="E29" s="91"/>
      <c r="F29" s="91"/>
      <c r="J29" s="91"/>
      <c r="K29" s="91"/>
    </row>
    <row r="30" spans="1:11" s="48" customFormat="1" x14ac:dyDescent="0.35">
      <c r="A30" s="91"/>
      <c r="B30" s="91"/>
      <c r="C30" s="91"/>
      <c r="D30" s="91"/>
      <c r="E30" s="91"/>
      <c r="F30" s="91"/>
      <c r="J30" s="91"/>
      <c r="K30" s="91"/>
    </row>
    <row r="31" spans="1:11" s="48" customFormat="1" x14ac:dyDescent="0.35">
      <c r="A31" s="91"/>
      <c r="B31" s="91"/>
      <c r="C31" s="91"/>
      <c r="D31" s="91"/>
      <c r="E31" s="91"/>
      <c r="F31" s="91"/>
      <c r="J31" s="91"/>
      <c r="K31" s="91"/>
    </row>
    <row r="32" spans="1:11" s="48" customFormat="1" x14ac:dyDescent="0.35">
      <c r="A32" s="91"/>
      <c r="B32" s="91"/>
      <c r="C32" s="91"/>
      <c r="D32" s="91"/>
      <c r="E32" s="91"/>
      <c r="F32" s="91"/>
      <c r="J32" s="91"/>
      <c r="K32" s="91"/>
    </row>
    <row r="33" spans="1:11" s="48" customFormat="1" x14ac:dyDescent="0.35">
      <c r="A33" s="91"/>
      <c r="B33" s="91"/>
      <c r="C33" s="91"/>
      <c r="D33" s="91"/>
      <c r="E33" s="91"/>
      <c r="F33" s="91"/>
      <c r="J33" s="91"/>
      <c r="K33" s="91"/>
    </row>
    <row r="34" spans="1:11" s="48" customFormat="1" x14ac:dyDescent="0.35">
      <c r="A34" s="91"/>
      <c r="B34" s="91"/>
      <c r="C34" s="91"/>
      <c r="D34" s="91"/>
      <c r="E34" s="91"/>
      <c r="F34" s="91"/>
      <c r="J34" s="91"/>
      <c r="K34" s="91"/>
    </row>
    <row r="35" spans="1:11" s="48" customFormat="1" x14ac:dyDescent="0.35">
      <c r="A35" s="91"/>
      <c r="B35" s="91"/>
      <c r="C35" s="91"/>
      <c r="D35" s="91"/>
      <c r="E35" s="91"/>
      <c r="F35" s="91"/>
      <c r="J35" s="91"/>
      <c r="K35" s="91"/>
    </row>
    <row r="36" spans="1:11" s="48" customFormat="1" x14ac:dyDescent="0.35">
      <c r="A36" s="91"/>
      <c r="B36" s="91"/>
      <c r="C36" s="91"/>
      <c r="D36" s="91"/>
      <c r="E36" s="91"/>
      <c r="F36" s="91"/>
      <c r="J36" s="91"/>
      <c r="K36" s="91"/>
    </row>
    <row r="37" spans="1:11" s="48" customFormat="1" x14ac:dyDescent="0.35">
      <c r="A37" s="91"/>
      <c r="B37" s="91"/>
      <c r="C37" s="91"/>
      <c r="D37" s="91"/>
      <c r="E37" s="91"/>
      <c r="F37" s="91"/>
      <c r="J37" s="91"/>
      <c r="K37" s="91"/>
    </row>
    <row r="38" spans="1:11" s="48" customFormat="1" x14ac:dyDescent="0.35">
      <c r="A38" s="91"/>
      <c r="B38" s="91"/>
      <c r="C38" s="91"/>
      <c r="D38" s="91"/>
      <c r="E38" s="91"/>
      <c r="F38" s="91"/>
      <c r="J38" s="91"/>
      <c r="K38" s="91"/>
    </row>
    <row r="39" spans="1:11" s="48" customFormat="1" x14ac:dyDescent="0.35">
      <c r="A39" s="91"/>
      <c r="B39" s="91"/>
      <c r="C39" s="91"/>
      <c r="D39" s="91"/>
      <c r="E39" s="91"/>
      <c r="F39" s="91"/>
      <c r="J39" s="91"/>
      <c r="K39" s="91"/>
    </row>
    <row r="40" spans="1:11" s="48" customFormat="1" x14ac:dyDescent="0.35">
      <c r="A40" s="91"/>
      <c r="B40" s="91"/>
      <c r="C40" s="91"/>
      <c r="D40" s="91"/>
      <c r="E40" s="91"/>
      <c r="F40" s="91"/>
      <c r="J40" s="91"/>
      <c r="K40" s="91"/>
    </row>
    <row r="41" spans="1:11" s="48" customFormat="1" x14ac:dyDescent="0.35">
      <c r="A41" s="91"/>
      <c r="B41" s="91"/>
      <c r="C41" s="91"/>
      <c r="D41" s="91"/>
      <c r="E41" s="91"/>
      <c r="F41" s="91"/>
      <c r="J41" s="91"/>
      <c r="K41" s="91"/>
    </row>
    <row r="42" spans="1:11" s="48" customFormat="1" x14ac:dyDescent="0.35">
      <c r="A42" s="91"/>
      <c r="B42" s="91"/>
      <c r="C42" s="91"/>
      <c r="D42" s="91"/>
      <c r="E42" s="91"/>
      <c r="F42" s="91"/>
      <c r="J42" s="91"/>
      <c r="K42" s="91"/>
    </row>
    <row r="43" spans="1:11" s="48" customFormat="1" x14ac:dyDescent="0.35">
      <c r="A43" s="91"/>
      <c r="B43" s="91"/>
      <c r="C43" s="91"/>
      <c r="D43" s="91"/>
      <c r="E43" s="91"/>
      <c r="F43" s="91"/>
      <c r="J43" s="91"/>
      <c r="K43" s="91"/>
    </row>
    <row r="44" spans="1:11" s="48" customFormat="1" x14ac:dyDescent="0.35">
      <c r="A44" s="91"/>
      <c r="B44" s="91"/>
      <c r="C44" s="91"/>
      <c r="D44" s="91"/>
      <c r="E44" s="91"/>
      <c r="F44" s="91"/>
      <c r="J44" s="91"/>
      <c r="K44" s="91"/>
    </row>
    <row r="45" spans="1:11" s="48" customFormat="1" x14ac:dyDescent="0.35">
      <c r="A45" s="91"/>
      <c r="B45" s="91"/>
      <c r="C45" s="91"/>
      <c r="D45" s="91"/>
      <c r="E45" s="91"/>
      <c r="F45" s="91"/>
      <c r="J45" s="91"/>
      <c r="K45" s="91"/>
    </row>
    <row r="46" spans="1:11" s="48" customFormat="1" x14ac:dyDescent="0.35">
      <c r="A46" s="91"/>
      <c r="B46" s="91"/>
      <c r="C46" s="91"/>
      <c r="D46" s="91"/>
      <c r="E46" s="91"/>
      <c r="F46" s="91"/>
      <c r="J46" s="91"/>
      <c r="K46" s="91"/>
    </row>
    <row r="47" spans="1:11" s="48" customFormat="1" x14ac:dyDescent="0.35">
      <c r="A47" s="91"/>
      <c r="B47" s="91"/>
      <c r="C47" s="91"/>
      <c r="D47" s="91"/>
      <c r="E47" s="91"/>
      <c r="F47" s="91"/>
      <c r="J47" s="91"/>
      <c r="K47" s="91"/>
    </row>
    <row r="48" spans="1:11" s="48" customFormat="1" x14ac:dyDescent="0.35">
      <c r="A48" s="91"/>
      <c r="B48" s="91"/>
      <c r="C48" s="91"/>
      <c r="D48" s="91"/>
      <c r="E48" s="91"/>
      <c r="F48" s="91"/>
      <c r="J48" s="91"/>
      <c r="K48" s="91"/>
    </row>
    <row r="49" spans="1:11" s="48" customFormat="1" x14ac:dyDescent="0.35">
      <c r="A49" s="91"/>
      <c r="B49" s="91"/>
      <c r="C49" s="91"/>
      <c r="D49" s="91"/>
      <c r="E49" s="91"/>
      <c r="F49" s="91"/>
      <c r="J49" s="91"/>
      <c r="K49" s="91"/>
    </row>
    <row r="50" spans="1:11" s="48" customFormat="1" x14ac:dyDescent="0.35">
      <c r="A50" s="91"/>
      <c r="B50" s="91"/>
      <c r="C50" s="91"/>
      <c r="D50" s="91"/>
      <c r="E50" s="91"/>
      <c r="F50" s="91"/>
      <c r="J50" s="91"/>
      <c r="K50" s="91"/>
    </row>
  </sheetData>
  <conditionalFormatting sqref="C1:C1048576 K1:K1048576">
    <cfRule type="cellIs" dxfId="13" priority="7" operator="greaterThan">
      <formula>1</formula>
    </cfRule>
  </conditionalFormatting>
  <conditionalFormatting sqref="G1:I1048576 A1:A4 B1:B1048576 D1:D1048576 A12:A1048576">
    <cfRule type="cellIs" dxfId="12" priority="8" operator="greaterThan">
      <formula>-1</formula>
    </cfRule>
  </conditionalFormatting>
  <conditionalFormatting sqref="G21:I23">
    <cfRule type="cellIs" dxfId="11" priority="1" operator="greaterThan">
      <formula>-1000000</formula>
    </cfRule>
  </conditionalFormatting>
  <printOptions horizontalCentered="1"/>
  <pageMargins left="0.70866141732283472" right="0.70866141732283472" top="1.7322834645669292" bottom="0.74803149606299213" header="0.9055118110236221" footer="0.31496062992125984"/>
  <pageSetup paperSize="9" scale="81" orientation="landscape" r:id="rId2"/>
  <headerFooter>
    <oddHeader><![CDATA[&C&"Cambria,Gras"&36&UCABINET PHENIX&"Arial,Normal"&10&U&K000000
&"Cambria,Normal"&14Expert en Recouvrement de Créances
&UVOTRE ETAT DE CREANCES AU &D&R&"Cambria,Normal"&14TEL  : 01 53 20 12 76     
FAX : 01 70 24 82 36
Mail : contact@cabinetphenix.fr]]></oddHeader>
  </headerFooter>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13"/>
  <dimension ref="A1:P63"/>
  <sheetViews>
    <sheetView topLeftCell="A21" zoomScale="85" zoomScaleNormal="85" workbookViewId="0">
      <selection activeCell="B37" sqref="B37:E37"/>
    </sheetView>
  </sheetViews>
  <sheetFormatPr baseColWidth="10" defaultColWidth="11.3984375" defaultRowHeight="14.25" x14ac:dyDescent="0.45"/>
  <cols>
    <col min="1" max="1" customWidth="true" style="160" width="16.3984375"/>
    <col min="2" max="2" customWidth="true" style="159" width="23.0"/>
    <col min="3" max="3" customWidth="true" style="159" width="16.73046875"/>
    <col min="4" max="4" customWidth="true" style="158" width="26.3984375"/>
    <col min="5" max="5" customWidth="true" style="158" width="27.3984375"/>
    <col min="6" max="6" customWidth="true" style="158" width="22.73046875"/>
    <col min="7" max="7" customWidth="true" style="158" width="17.73046875"/>
    <col min="8" max="8" customWidth="true" style="159" width="38.59765625"/>
    <col min="9" max="9" style="159" width="11.3984375"/>
    <col min="10" max="10" customWidth="true" style="159" width="11.3984375"/>
    <col min="11" max="11" customWidth="true" style="159" width="14.73046875"/>
    <col min="12" max="12" customWidth="true" style="159" width="13.73046875"/>
    <col min="13" max="13" bestFit="true" customWidth="true" style="159" width="22.73046875"/>
    <col min="14" max="14" bestFit="true" customWidth="true" style="159" width="24.73046875"/>
    <col min="15" max="15" bestFit="true" customWidth="true" style="159" width="25.265625"/>
    <col min="16" max="16384" style="159" width="11.3984375"/>
  </cols>
  <sheetData>
    <row r="1" spans="1:9" s="145" customFormat="1" x14ac:dyDescent="0.35">
      <c r="A1" s="142"/>
      <c r="B1" s="143"/>
      <c r="C1" s="143"/>
      <c r="D1" s="144"/>
      <c r="E1" s="144"/>
      <c r="F1" s="144"/>
      <c r="G1" s="144"/>
      <c r="H1" s="143"/>
      <c r="I1" s="143"/>
    </row>
    <row r="2" spans="1:9" s="145" customFormat="1" x14ac:dyDescent="0.35">
      <c r="A2" s="142"/>
      <c r="B2" s="143"/>
      <c r="C2" s="143"/>
      <c r="D2" s="144"/>
      <c r="E2" s="144"/>
      <c r="F2" s="144"/>
      <c r="G2" s="144"/>
      <c r="H2" s="143"/>
      <c r="I2" s="143"/>
    </row>
    <row r="3" spans="1:9" s="145" customFormat="1" x14ac:dyDescent="0.35">
      <c r="A3" s="142"/>
      <c r="B3" s="143"/>
      <c r="C3" s="143"/>
      <c r="D3" s="144"/>
      <c r="E3" s="144"/>
      <c r="F3" s="144"/>
      <c r="G3" s="144"/>
      <c r="H3" s="143"/>
      <c r="I3" s="143"/>
    </row>
    <row r="4" spans="1:9" s="145" customFormat="1" ht="15.4" x14ac:dyDescent="0.35">
      <c r="A4" s="142"/>
      <c r="B4" s="143"/>
      <c r="C4" s="143"/>
      <c r="D4" s="144"/>
      <c r="E4" s="144"/>
      <c r="F4" s="144"/>
      <c r="G4" s="144"/>
      <c r="H4" s="143"/>
      <c r="I4" s="139"/>
    </row>
    <row r="5" spans="1:9" s="145" customFormat="1" x14ac:dyDescent="0.35">
      <c r="A5" s="142"/>
      <c r="B5" s="143"/>
      <c r="C5" s="143"/>
      <c r="D5" s="144"/>
      <c r="E5" s="144"/>
      <c r="F5" s="144"/>
      <c r="G5" s="144"/>
      <c r="H5" s="143"/>
      <c r="I5" s="143"/>
    </row>
    <row r="6" spans="1:9" s="145" customFormat="1" x14ac:dyDescent="0.35">
      <c r="A6" s="142"/>
      <c r="B6" s="143"/>
      <c r="C6" s="143"/>
      <c r="D6" s="144"/>
      <c r="E6" s="144"/>
      <c r="F6" s="144"/>
      <c r="G6" s="144"/>
      <c r="H6" s="143"/>
      <c r="I6" s="143"/>
    </row>
    <row r="7" spans="1:9" s="145" customFormat="1" x14ac:dyDescent="0.35">
      <c r="A7" s="142"/>
      <c r="B7" s="143"/>
      <c r="C7" s="143"/>
      <c r="D7" s="144"/>
      <c r="E7" s="144"/>
      <c r="F7" s="144"/>
      <c r="G7" s="144"/>
      <c r="H7" s="143"/>
      <c r="I7" s="143"/>
    </row>
    <row r="8" spans="1:9" s="145" customFormat="1" x14ac:dyDescent="0.35">
      <c r="A8" s="142"/>
      <c r="B8" s="143"/>
      <c r="C8" s="143"/>
      <c r="D8" s="144"/>
      <c r="E8" s="144"/>
      <c r="F8" s="144"/>
      <c r="G8" s="144"/>
      <c r="H8" s="143"/>
      <c r="I8" s="143"/>
    </row>
    <row r="9" spans="1:9" s="145" customFormat="1" x14ac:dyDescent="0.35">
      <c r="A9" s="142"/>
      <c r="B9" s="143"/>
      <c r="C9" s="143"/>
      <c r="D9" s="144"/>
      <c r="E9" s="144"/>
      <c r="F9" s="144"/>
      <c r="G9" s="144"/>
      <c r="H9" s="143"/>
      <c r="I9" s="143"/>
    </row>
    <row r="10" spans="1:9" s="145" customFormat="1" ht="18" x14ac:dyDescent="0.35">
      <c r="A10" s="142"/>
      <c r="B10" s="143"/>
      <c r="C10" s="143"/>
      <c r="D10" s="146"/>
      <c r="E10" s="146"/>
      <c r="F10" s="146"/>
      <c r="G10" s="144"/>
      <c r="H10" s="143"/>
      <c r="I10" s="143"/>
    </row>
    <row r="11" spans="1:9" s="145" customFormat="1" ht="18" x14ac:dyDescent="0.35">
      <c r="A11" s="142"/>
      <c r="B11" s="143"/>
      <c r="C11" s="143"/>
      <c r="D11" s="146"/>
      <c r="E11" s="146"/>
      <c r="F11" s="146"/>
      <c r="G11" s="144"/>
      <c r="H11" s="143"/>
      <c r="I11" s="143"/>
    </row>
    <row r="12" spans="1:9" s="145" customFormat="1" ht="18" x14ac:dyDescent="0.35">
      <c r="A12" s="142"/>
      <c r="B12" s="143"/>
      <c r="C12" s="143"/>
      <c r="D12" s="146"/>
      <c r="E12" s="146"/>
      <c r="F12" s="146"/>
      <c r="G12" s="144"/>
      <c r="H12" s="143"/>
      <c r="I12" s="143"/>
    </row>
    <row r="13" spans="1:9" s="145" customFormat="1" ht="18" x14ac:dyDescent="0.35">
      <c r="A13" s="142"/>
      <c r="B13" s="143"/>
      <c r="C13" s="143"/>
      <c r="D13" s="146"/>
      <c r="E13" s="146"/>
      <c r="F13" s="146"/>
      <c r="H13" s="143"/>
      <c r="I13" s="143"/>
    </row>
    <row r="14" spans="1:9" s="145" customFormat="1" ht="18" x14ac:dyDescent="0.35">
      <c r="A14" s="224" t="s">
        <v>186</v>
      </c>
      <c r="B14" s="225">
        <f ca="1">TODAY()</f>
        <v>46128</v>
      </c>
      <c r="C14" s="143"/>
      <c r="D14" s="146"/>
      <c r="E14" s="146"/>
      <c r="F14" s="146"/>
      <c r="G14" s="144"/>
      <c r="H14" s="143"/>
      <c r="I14" s="143"/>
    </row>
    <row r="15" spans="1:9" s="145" customFormat="1" ht="18" x14ac:dyDescent="0.35">
      <c r="A15" s="142"/>
      <c r="B15" s="143"/>
      <c r="C15" s="143"/>
      <c r="D15" s="146"/>
      <c r="E15" s="146"/>
      <c r="F15" s="146"/>
      <c r="G15" s="144"/>
      <c r="H15" s="143"/>
      <c r="I15" s="143"/>
    </row>
    <row r="16" spans="1:9" s="145" customFormat="1" ht="18" x14ac:dyDescent="0.35">
      <c r="A16" s="142"/>
      <c r="B16" s="143"/>
      <c r="C16" s="143"/>
      <c r="D16" s="146"/>
      <c r="E16" s="146"/>
      <c r="F16" s="146"/>
      <c r="G16" s="144"/>
      <c r="H16" s="143"/>
      <c r="I16" s="143"/>
    </row>
    <row r="17" spans="1:12" s="145" customFormat="1" ht="18" x14ac:dyDescent="0.35">
      <c r="A17" s="142"/>
      <c r="B17" s="143"/>
      <c r="C17" s="143"/>
      <c r="D17" s="146"/>
      <c r="E17" s="146">
        <f ca="1">INDIRECT(CONCATENATE(K44,K43))</f>
        <v>0</v>
      </c>
      <c r="F17" s="146"/>
      <c r="G17" s="144"/>
      <c r="H17" s="143"/>
      <c r="I17" s="143"/>
    </row>
    <row r="18" spans="1:12" s="145" customFormat="1" ht="18" x14ac:dyDescent="0.35">
      <c r="A18" s="142"/>
      <c r="B18" s="143"/>
      <c r="C18" s="143"/>
      <c r="D18" s="146"/>
      <c r="E18" s="226" t="s">
        <v>131</v>
      </c>
      <c r="F18" s="146"/>
      <c r="G18" s="144"/>
      <c r="H18" s="143"/>
      <c r="I18" s="143"/>
    </row>
    <row r="19" spans="1:12" s="145" customFormat="1" ht="18" x14ac:dyDescent="0.35">
      <c r="A19" s="142"/>
      <c r="B19" s="143"/>
      <c r="C19" s="143"/>
      <c r="D19" s="149"/>
      <c r="E19" s="226" t="s">
        <v>132</v>
      </c>
      <c r="F19" s="146"/>
      <c r="G19" s="144"/>
      <c r="H19" s="143" t="str">
        <f>Créances!4:4</f>
        <v>FT TRADING</v>
      </c>
      <c r="I19" s="143" t="s">
        <v>133</v>
      </c>
      <c r="J19" s="145">
        <f ca="1">INDIRECT(CONCATENATE(K44,K43))</f>
        <v>0</v>
      </c>
    </row>
    <row r="20" spans="1:12" s="145" customFormat="1" ht="18" x14ac:dyDescent="0.35">
      <c r="A20" s="142"/>
      <c r="B20" s="143"/>
      <c r="C20" s="143"/>
      <c r="D20" s="149"/>
      <c r="F20" s="146"/>
      <c r="G20" s="144"/>
      <c r="H20" s="143"/>
      <c r="I20" s="143"/>
      <c r="L20" s="128"/>
    </row>
    <row r="21" spans="1:12" s="145" customFormat="1" ht="18" x14ac:dyDescent="0.35">
      <c r="A21" s="142"/>
      <c r="B21" s="143"/>
      <c r="C21" s="143"/>
      <c r="D21" s="149"/>
      <c r="F21" s="146"/>
      <c r="G21" s="144"/>
      <c r="H21" s="143"/>
      <c r="I21" s="143"/>
      <c r="L21" s="128"/>
    </row>
    <row r="22" spans="1:12" s="145" customFormat="1" ht="18" x14ac:dyDescent="0.35">
      <c r="A22" s="142"/>
      <c r="B22" s="143"/>
      <c r="C22" s="143"/>
      <c r="D22" s="149"/>
      <c r="E22" s="226"/>
      <c r="F22" s="146"/>
      <c r="G22" s="144"/>
      <c r="H22" s="143"/>
      <c r="I22" s="143"/>
      <c r="L22" s="128"/>
    </row>
    <row r="23" spans="1:12" s="145" customFormat="1" ht="18" x14ac:dyDescent="0.35">
      <c r="A23" s="142"/>
      <c r="B23" s="143"/>
      <c r="C23" s="143"/>
      <c r="D23" s="149"/>
      <c r="F23" s="146"/>
      <c r="G23" s="144"/>
      <c r="H23" s="143"/>
      <c r="I23" s="143"/>
      <c r="L23" s="128"/>
    </row>
    <row r="24" spans="1:12" s="145" customFormat="1" ht="18" x14ac:dyDescent="0.35">
      <c r="A24" s="142"/>
      <c r="B24" s="143"/>
      <c r="C24" s="143"/>
      <c r="D24" s="149"/>
      <c r="E24" s="226"/>
      <c r="F24" s="146"/>
      <c r="G24" s="144"/>
      <c r="H24" s="143"/>
      <c r="I24" s="143"/>
      <c r="L24" s="128"/>
    </row>
    <row r="25" spans="1:12" s="145" customFormat="1" ht="18" x14ac:dyDescent="0.35">
      <c r="A25" s="142"/>
      <c r="B25" s="143"/>
      <c r="C25" s="143"/>
      <c r="D25" s="149"/>
      <c r="E25" s="226"/>
      <c r="F25" s="146"/>
      <c r="G25" s="144"/>
      <c r="H25" s="143"/>
      <c r="I25" s="143"/>
      <c r="L25" s="128"/>
    </row>
    <row r="26" spans="1:12" s="145" customFormat="1" ht="18" x14ac:dyDescent="0.35">
      <c r="A26" s="227" t="s">
        <v>134</v>
      </c>
      <c r="B26" s="228" t="str">
        <f>IF(A26="LR/AR","LETTRE DE MISE EN DEMEURE","")</f>
        <v/>
      </c>
      <c r="C26" s="143"/>
      <c r="D26" s="146"/>
      <c r="E26" s="149"/>
      <c r="F26" s="146"/>
      <c r="G26" s="144"/>
      <c r="H26" s="143"/>
      <c r="I26" s="229" t="s">
        <v>135</v>
      </c>
      <c r="J26" s="230"/>
      <c r="K26" s="231" t="s">
        <v>136</v>
      </c>
      <c r="L26" s="232"/>
    </row>
    <row r="27" spans="1:12" s="145" customFormat="1" ht="18" x14ac:dyDescent="0.35">
      <c r="A27" s="227" t="s">
        <v>137</v>
      </c>
      <c r="B27" s="149" t="s">
        <v>138</v>
      </c>
      <c r="D27" s="146"/>
      <c r="E27" s="146"/>
      <c r="F27" s="146"/>
      <c r="G27" s="233" t="s">
        <v>139</v>
      </c>
      <c r="H27" s="234"/>
      <c r="I27" s="235" t="s">
        <v>140</v>
      </c>
      <c r="J27" s="233" t="s">
        <v>141</v>
      </c>
      <c r="K27" s="235" t="s">
        <v>140</v>
      </c>
      <c r="L27" s="233" t="s">
        <v>141</v>
      </c>
    </row>
    <row r="28" spans="1:12" s="145" customFormat="1" ht="18" x14ac:dyDescent="0.35">
      <c r="A28" s="227" t="s">
        <v>142</v>
      </c>
      <c r="B28" s="149" t="str">
        <f ca="1">CONCATENATE(H19, I19, J19)</f>
        <v>FT TRADING / 0</v>
      </c>
      <c r="D28" s="146"/>
      <c r="E28" s="146"/>
      <c r="F28" s="146"/>
      <c r="G28" s="233" t="s">
        <v>134</v>
      </c>
      <c r="H28" s="234" t="s">
        <v>143</v>
      </c>
      <c r="I28" s="235" t="s">
        <v>144</v>
      </c>
      <c r="J28" s="233" t="s">
        <v>144</v>
      </c>
      <c r="K28" s="233" t="s">
        <v>144</v>
      </c>
      <c r="L28" s="233" t="s">
        <v>144</v>
      </c>
    </row>
    <row r="29" spans="1:12" s="145" customFormat="1" ht="18" x14ac:dyDescent="0.35">
      <c r="A29" s="152"/>
      <c r="B29" s="153"/>
      <c r="D29" s="146"/>
      <c r="E29" s="146"/>
      <c r="F29" s="146"/>
      <c r="G29" s="233" t="s">
        <v>145</v>
      </c>
      <c r="H29" s="234" t="s">
        <v>146</v>
      </c>
      <c r="I29" s="235" t="s">
        <v>144</v>
      </c>
      <c r="J29" s="233" t="s">
        <v>147</v>
      </c>
      <c r="K29" s="233" t="s">
        <v>144</v>
      </c>
      <c r="L29" s="233" t="s">
        <v>147</v>
      </c>
    </row>
    <row r="30" spans="1:12" s="145" customFormat="1" x14ac:dyDescent="0.35">
      <c r="A30" s="142"/>
      <c r="D30" s="144"/>
      <c r="E30" s="144"/>
      <c r="F30" s="144"/>
      <c r="G30" s="233" t="s">
        <v>148</v>
      </c>
      <c r="H30" s="234" t="s">
        <v>149</v>
      </c>
      <c r="I30" s="235" t="s">
        <v>150</v>
      </c>
      <c r="J30" s="233" t="s">
        <v>147</v>
      </c>
      <c r="K30" s="231"/>
      <c r="L30" s="233" t="s">
        <v>147</v>
      </c>
    </row>
    <row r="31" spans="1:12" s="145" customFormat="1" ht="21" x14ac:dyDescent="0.35">
      <c r="A31" s="142"/>
      <c r="B31" s="236" t="s">
        <v>151</v>
      </c>
      <c r="C31" s="151"/>
      <c r="D31" s="144"/>
      <c r="E31" s="144"/>
      <c r="F31" s="144"/>
      <c r="G31" s="233" t="s">
        <v>152</v>
      </c>
      <c r="H31" s="233" t="s">
        <v>153</v>
      </c>
      <c r="I31" s="235" t="s">
        <v>150</v>
      </c>
      <c r="J31" s="233" t="s">
        <v>150</v>
      </c>
      <c r="K31" s="231">
        <v>200</v>
      </c>
      <c r="L31" s="231">
        <v>300</v>
      </c>
    </row>
    <row r="32" spans="1:12" s="145" customFormat="1" x14ac:dyDescent="0.35">
      <c r="A32" s="142"/>
      <c r="B32" s="143"/>
      <c r="C32" s="143"/>
      <c r="D32" s="144"/>
      <c r="E32" s="144"/>
      <c r="F32" s="144"/>
      <c r="G32" s="144" t="s">
        <v>154</v>
      </c>
      <c r="H32" s="143"/>
      <c r="I32" s="143"/>
    </row>
    <row r="33" spans="1:16" s="145" customFormat="1" ht="18" x14ac:dyDescent="0.35">
      <c r="A33" s="142"/>
      <c r="B33" s="400" t="s">
        <v>155</v>
      </c>
      <c r="C33" s="400"/>
      <c r="D33" s="400"/>
      <c r="E33" s="400"/>
      <c r="F33" s="400"/>
      <c r="G33" s="144"/>
      <c r="H33" s="143"/>
      <c r="I33" s="143"/>
    </row>
    <row r="34" spans="1:16" s="145" customFormat="1" ht="20.25" x14ac:dyDescent="0.35">
      <c r="A34" s="142"/>
      <c r="B34" s="237" t="s">
        <v>156</v>
      </c>
      <c r="C34" s="143"/>
      <c r="D34" s="238">
        <f ca="1">IF(A26="L1",F36+F37+F38,IF(A26="L2",F36+F37,IF(A26="L3",F36+F37,F36+F37+F38)))</f>
        <v>0</v>
      </c>
      <c r="E34" s="147" t="s">
        <v>157</v>
      </c>
      <c r="F34" s="144"/>
      <c r="G34" s="144"/>
      <c r="H34" s="143"/>
      <c r="I34" s="143"/>
    </row>
    <row r="35" spans="1:16" s="145" customFormat="1" ht="16.5" customHeight="1" x14ac:dyDescent="0.35">
      <c r="A35" s="142"/>
      <c r="G35" s="144"/>
      <c r="H35" s="143"/>
      <c r="I35" s="143"/>
    </row>
    <row r="36" spans="1:16" s="145" customFormat="1" ht="18" x14ac:dyDescent="0.35">
      <c r="A36" s="142"/>
      <c r="B36" s="239" t="s">
        <v>158</v>
      </c>
      <c r="C36" s="240"/>
      <c r="D36" s="241"/>
      <c r="E36" s="241"/>
      <c r="F36" s="242">
        <f ca="1">INDIRECT(CONCATENATE(L44,K43))</f>
        <v>0</v>
      </c>
      <c r="G36" s="144"/>
      <c r="H36" s="143"/>
      <c r="I36" s="143"/>
    </row>
    <row r="37" spans="1:16" s="145" customFormat="1" ht="54.75" customHeight="1" x14ac:dyDescent="0.35">
      <c r="B37" s="401" t="s">
        <v>197</v>
      </c>
      <c r="C37" s="402"/>
      <c r="D37" s="402"/>
      <c r="E37" s="403"/>
      <c r="F37" s="242">
        <f ca="1">IF(OR(A26="L1",A26="LR/AR"),INDIRECT(CONCATENATE(M44,K43)),IF(A26="L2",INDIRECT(CONCATENATE(M44,K43)),IF(A26="L3",K30,IF(A26="L4",K31))))</f>
        <v>0</v>
      </c>
      <c r="G37" s="144"/>
      <c r="H37" s="143"/>
      <c r="I37" s="143"/>
      <c r="K37" s="361" t="s">
        <v>194</v>
      </c>
    </row>
    <row r="38" spans="1:16" s="145" customFormat="1" ht="80.25" customHeight="1" x14ac:dyDescent="0.35">
      <c r="B38" s="401" t="str">
        <f>IF(OR(A26="L1",A26="LR/AR"),K37,IF(A26="L4",K37," "))</f>
        <v>Indemnités de recouvrement : Tout professionnel en situation de retard de paiement est de plein droit débiteur, à l’égard du créancier, d’une indemnité forfaitaire pour frais de recouvrement d’un montant minimum fixé à 40€ par facture (art. L441-6 et art. D.441-5 du Code de Commerce).</v>
      </c>
      <c r="C38" s="402"/>
      <c r="D38" s="402"/>
      <c r="E38" s="403"/>
      <c r="F38" s="242">
        <f ca="1">IF(OR(A26="L1",A26="LR/AR"),INDIRECT(CONCATENATE(N44,K43)),IF(A26="L2"," ",IF(A26="L3"," ",IF(A26="L4",L31))))</f>
        <v>0</v>
      </c>
      <c r="G38" s="144"/>
      <c r="H38" s="143"/>
      <c r="I38" s="143"/>
    </row>
    <row r="39" spans="1:16" s="145" customFormat="1" x14ac:dyDescent="0.35">
      <c r="G39" s="144"/>
      <c r="H39" s="143"/>
      <c r="I39" s="143"/>
    </row>
    <row r="40" spans="1:16" s="145" customFormat="1" ht="20.25" x14ac:dyDescent="0.35">
      <c r="A40" s="152"/>
      <c r="B40" s="237" t="str">
        <f>IF(A26="LR/AR", "Nous vous mettons en demeure de nous régler sous 8 jours francs la dite somme de","Nous vous demandons de nous faire parvenir sous 8 jours francs la dite somme de")</f>
        <v>Nous vous demandons de nous faire parvenir sous 8 jours francs la dite somme de</v>
      </c>
      <c r="F40" s="243">
        <f ca="1">IF(A26="L1",F36+F37+F38,IF(A26="L2",F36+F37,IF(A26="L3",F36+K30,F36+F37+F38)))</f>
        <v>0</v>
      </c>
      <c r="G40" s="144"/>
      <c r="H40" s="143"/>
      <c r="I40" s="143"/>
      <c r="K40" s="145" t="s">
        <v>159</v>
      </c>
    </row>
    <row r="41" spans="1:16" s="145" customFormat="1" ht="20.25" customHeight="1" x14ac:dyDescent="0.35">
      <c r="B41" s="400" t="s">
        <v>160</v>
      </c>
      <c r="C41" s="400"/>
      <c r="D41" s="400"/>
      <c r="E41" s="400"/>
      <c r="F41" s="400"/>
      <c r="G41" s="144"/>
      <c r="H41" s="143"/>
      <c r="I41" s="143"/>
      <c r="K41" s="154" t="s">
        <v>123</v>
      </c>
      <c r="L41" s="154" t="s">
        <v>124</v>
      </c>
      <c r="M41" s="145" t="s">
        <v>161</v>
      </c>
      <c r="N41" s="145" t="s">
        <v>162</v>
      </c>
      <c r="O41" s="145" t="s">
        <v>163</v>
      </c>
    </row>
    <row r="42" spans="1:16" s="145" customFormat="1" ht="23.25" customHeight="1" x14ac:dyDescent="0.35">
      <c r="A42" s="152"/>
      <c r="B42" s="244"/>
      <c r="C42" s="244"/>
      <c r="D42" s="244"/>
      <c r="E42" s="244"/>
      <c r="F42" s="245"/>
      <c r="G42" s="144"/>
      <c r="H42" s="143"/>
      <c r="I42" s="143"/>
      <c r="K42" s="154" t="str">
        <f>RIGHT(B27,6)</f>
        <v>000833</v>
      </c>
      <c r="L42" s="154"/>
      <c r="P42" s="155"/>
    </row>
    <row r="43" spans="1:16" s="145" customFormat="1" ht="22.5" customHeight="1" x14ac:dyDescent="0.35">
      <c r="A43" s="156"/>
      <c r="B43" s="399" t="s">
        <v>164</v>
      </c>
      <c r="C43" s="399"/>
      <c r="D43" s="399"/>
      <c r="E43" s="399"/>
      <c r="F43" s="399"/>
      <c r="G43" s="144"/>
      <c r="H43" s="143"/>
      <c r="I43" s="143"/>
      <c r="K43" s="154">
        <f>LEFT(K42,4)+16</f>
        <v>24</v>
      </c>
      <c r="L43" s="154"/>
    </row>
    <row r="44" spans="1:16" s="145" customFormat="1" ht="23.25" customHeight="1" x14ac:dyDescent="0.35">
      <c r="A44" s="131"/>
      <c r="B44" s="399"/>
      <c r="C44" s="399"/>
      <c r="D44" s="399"/>
      <c r="E44" s="399"/>
      <c r="F44" s="399"/>
      <c r="G44" s="131"/>
      <c r="H44" s="143"/>
      <c r="I44" s="143"/>
      <c r="K44" s="157" t="s">
        <v>125</v>
      </c>
      <c r="L44" s="157" t="s">
        <v>126</v>
      </c>
      <c r="M44" s="157" t="s">
        <v>165</v>
      </c>
      <c r="N44" s="157" t="s">
        <v>166</v>
      </c>
      <c r="O44" s="157" t="s">
        <v>167</v>
      </c>
    </row>
    <row r="45" spans="1:16" s="145" customFormat="1" ht="24.75" customHeight="1" x14ac:dyDescent="0.35">
      <c r="A45" s="128"/>
      <c r="B45" s="399"/>
      <c r="C45" s="399"/>
      <c r="D45" s="399"/>
      <c r="E45" s="399"/>
      <c r="F45" s="399"/>
      <c r="G45" s="143"/>
      <c r="H45" s="143"/>
      <c r="L45" s="154" t="s">
        <v>127</v>
      </c>
    </row>
    <row r="46" spans="1:16" s="145" customFormat="1" ht="19.5" customHeight="1" x14ac:dyDescent="0.35">
      <c r="A46" s="128"/>
      <c r="B46" s="399" t="s">
        <v>168</v>
      </c>
      <c r="C46" s="399"/>
      <c r="D46" s="399"/>
      <c r="E46" s="399"/>
      <c r="F46" s="399"/>
      <c r="G46" s="143"/>
      <c r="H46" s="143"/>
    </row>
    <row r="47" spans="1:16" s="145" customFormat="1" ht="24" customHeight="1" x14ac:dyDescent="0.35">
      <c r="A47" s="141"/>
      <c r="B47" s="399"/>
      <c r="C47" s="399"/>
      <c r="D47" s="399"/>
      <c r="E47" s="399"/>
      <c r="F47" s="399"/>
      <c r="G47" s="143"/>
      <c r="H47" s="143"/>
    </row>
    <row r="48" spans="1:16" ht="15" customHeight="1" x14ac:dyDescent="0.45">
      <c r="A48" s="128"/>
      <c r="B48" s="399"/>
      <c r="C48" s="399"/>
      <c r="D48" s="399"/>
      <c r="E48" s="399"/>
      <c r="F48" s="399"/>
    </row>
    <row r="49" spans="1:7" x14ac:dyDescent="0.45">
      <c r="A49" s="128"/>
      <c r="B49" s="128"/>
      <c r="C49" s="128"/>
      <c r="G49" s="159"/>
    </row>
    <row r="50" spans="1:7" ht="18" x14ac:dyDescent="0.45">
      <c r="A50" s="140"/>
      <c r="B50" s="237" t="s">
        <v>169</v>
      </c>
      <c r="C50" s="128"/>
      <c r="G50" s="159"/>
    </row>
    <row r="51" spans="1:7" ht="15" x14ac:dyDescent="0.45">
      <c r="A51" s="140"/>
      <c r="C51" s="128"/>
      <c r="G51" s="159"/>
    </row>
    <row r="52" spans="1:7" ht="15" customHeight="1" x14ac:dyDescent="0.45">
      <c r="A52" s="140"/>
      <c r="B52" s="201"/>
      <c r="C52" s="163"/>
      <c r="G52" s="159"/>
    </row>
    <row r="53" spans="1:7" ht="15.4" thickBot="1" x14ac:dyDescent="0.5">
      <c r="A53" s="140"/>
      <c r="B53" s="201"/>
      <c r="C53" s="246" t="s">
        <v>170</v>
      </c>
      <c r="G53" s="159"/>
    </row>
    <row r="54" spans="1:7" ht="18" x14ac:dyDescent="0.55000000000000004">
      <c r="A54" s="140"/>
      <c r="B54" s="201"/>
      <c r="D54" s="335" t="s">
        <v>171</v>
      </c>
      <c r="E54" s="247"/>
      <c r="F54" s="248"/>
      <c r="G54" s="159"/>
    </row>
    <row r="55" spans="1:7" ht="18" x14ac:dyDescent="0.55000000000000004">
      <c r="A55" s="140"/>
      <c r="C55" s="128"/>
      <c r="D55" s="336"/>
      <c r="E55" s="249"/>
      <c r="F55" s="250"/>
      <c r="G55" s="159"/>
    </row>
    <row r="56" spans="1:7" ht="18" x14ac:dyDescent="0.55000000000000004">
      <c r="A56" s="251" t="s">
        <v>192</v>
      </c>
      <c r="C56" s="128"/>
      <c r="D56" s="337" t="s">
        <v>137</v>
      </c>
      <c r="E56" s="236" t="str">
        <f>B27</f>
        <v>940012/000833</v>
      </c>
      <c r="F56" s="250"/>
      <c r="G56" s="159"/>
    </row>
    <row r="57" spans="1:7" ht="18" x14ac:dyDescent="0.55000000000000004">
      <c r="A57" s="251" t="s">
        <v>193</v>
      </c>
      <c r="C57" s="128"/>
      <c r="D57" s="337" t="s">
        <v>142</v>
      </c>
      <c r="E57" s="236" t="str">
        <f ca="1">CONCATENATE(H19, I19, J19)</f>
        <v>FT TRADING / 0</v>
      </c>
      <c r="F57" s="250"/>
      <c r="G57" s="159"/>
    </row>
    <row r="58" spans="1:7" ht="18" x14ac:dyDescent="0.55000000000000004">
      <c r="A58" s="159"/>
      <c r="C58" s="128"/>
      <c r="D58" s="336" t="s">
        <v>190</v>
      </c>
      <c r="E58" s="249" t="s">
        <v>191</v>
      </c>
      <c r="F58" s="250"/>
      <c r="G58" s="159"/>
    </row>
    <row r="59" spans="1:7" ht="18" x14ac:dyDescent="0.55000000000000004">
      <c r="A59" s="128"/>
      <c r="B59" s="128"/>
      <c r="C59" s="128"/>
      <c r="D59" s="336" t="s">
        <v>172</v>
      </c>
      <c r="E59" s="252"/>
      <c r="F59" s="250"/>
      <c r="G59" s="159"/>
    </row>
    <row r="60" spans="1:7" ht="18" x14ac:dyDescent="0.55000000000000004">
      <c r="A60" s="138"/>
      <c r="B60" s="128"/>
      <c r="C60" s="128"/>
      <c r="D60" s="336" t="s">
        <v>173</v>
      </c>
      <c r="E60" s="252"/>
      <c r="F60" s="250"/>
      <c r="G60" s="159"/>
    </row>
    <row r="61" spans="1:7" ht="18" x14ac:dyDescent="0.55000000000000004">
      <c r="A61" s="128"/>
      <c r="B61" s="128"/>
      <c r="C61" s="128"/>
      <c r="D61" s="336" t="s">
        <v>174</v>
      </c>
      <c r="E61" s="252"/>
      <c r="F61" s="250"/>
      <c r="G61" s="159"/>
    </row>
    <row r="62" spans="1:7" ht="18.399999999999999" thickBot="1" x14ac:dyDescent="0.6">
      <c r="A62" s="128"/>
      <c r="D62" s="338" t="s">
        <v>175</v>
      </c>
      <c r="E62" s="253"/>
      <c r="F62" s="254"/>
      <c r="G62" s="159"/>
    </row>
    <row r="63" spans="1:7" x14ac:dyDescent="0.45">
      <c r="A63" s="128"/>
      <c r="D63" s="159"/>
      <c r="E63" s="159"/>
      <c r="F63" s="159"/>
      <c r="G63" s="159"/>
    </row>
  </sheetData>
  <mergeCells count="6">
    <mergeCell ref="B46:F48"/>
    <mergeCell ref="B33:F33"/>
    <mergeCell ref="B37:E37"/>
    <mergeCell ref="B38:E38"/>
    <mergeCell ref="B41:F41"/>
    <mergeCell ref="B43:F45"/>
  </mergeCells>
  <conditionalFormatting sqref="B37:E38">
    <cfRule type="cellIs" dxfId="10" priority="3" operator="equal">
      <formula>" "</formula>
    </cfRule>
  </conditionalFormatting>
  <conditionalFormatting sqref="B38:E38">
    <cfRule type="cellIs" dxfId="9" priority="5" operator="equal">
      <formula>" "</formula>
    </cfRule>
    <cfRule type="containsText" dxfId="8" priority="6" operator="containsText" text="&quot;&quot;">
      <formula>NOT(ISERROR(SEARCH("""""",B38)))</formula>
    </cfRule>
  </conditionalFormatting>
  <conditionalFormatting sqref="F38">
    <cfRule type="cellIs" dxfId="7" priority="1" operator="equal">
      <formula>" "</formula>
    </cfRule>
    <cfRule type="cellIs" dxfId="6" priority="2" operator="equal">
      <formula>" "</formula>
    </cfRule>
  </conditionalFormatting>
  <dataValidations count="1">
    <dataValidation type="list" allowBlank="1" showInputMessage="1" showErrorMessage="1" sqref="A26" xr:uid="{00000000-0002-0000-0600-000000000000}">
      <formula1>$G$28:$G$32</formula1>
    </dataValidation>
  </dataValidations>
  <pageMargins left="0.43307086614173229" right="0.43307086614173229" top="0" bottom="0.74803149606299213" header="0" footer="0.31496062992125984"/>
  <pageSetup paperSize="9" scale="63" orientation="portrait" r:id="rId1"/>
  <headerFooter>
    <oddHeader xml:space="preserve">&amp;C            &amp;R
</oddHead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1000000}">
          <x14:formula1>
            <xm:f>Créances!$F$17:$F$1000</xm:f>
          </x14:formula1>
          <xm:sqref>B27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14"/>
  <dimension ref="A1:P61"/>
  <sheetViews>
    <sheetView topLeftCell="A18" zoomScale="85" zoomScaleNormal="85" workbookViewId="0">
      <selection activeCell="B34" sqref="B34:E34"/>
    </sheetView>
  </sheetViews>
  <sheetFormatPr baseColWidth="10" defaultColWidth="11.3984375" defaultRowHeight="14.25" x14ac:dyDescent="0.45"/>
  <cols>
    <col min="1" max="1" customWidth="true" style="160" width="16.3984375"/>
    <col min="2" max="2" customWidth="true" style="159" width="23.0"/>
    <col min="3" max="3" customWidth="true" style="159" width="16.73046875"/>
    <col min="4" max="4" customWidth="true" style="158" width="26.3984375"/>
    <col min="5" max="5" customWidth="true" style="158" width="27.3984375"/>
    <col min="6" max="6" customWidth="true" style="158" width="22.73046875"/>
    <col min="7" max="7" customWidth="true" style="158" width="17.73046875"/>
    <col min="8" max="8" customWidth="true" style="159" width="38.59765625"/>
    <col min="9" max="9" style="159" width="11.3984375"/>
    <col min="10" max="10" customWidth="true" style="159" width="11.3984375"/>
    <col min="11" max="11" customWidth="true" style="159" width="14.73046875"/>
    <col min="12" max="12" customWidth="true" style="159" width="13.73046875"/>
    <col min="13" max="13" bestFit="true" customWidth="true" style="159" width="22.73046875"/>
    <col min="14" max="14" bestFit="true" customWidth="true" style="159" width="24.73046875"/>
    <col min="15" max="15" bestFit="true" customWidth="true" style="159" width="25.265625"/>
    <col min="16" max="16384" style="159" width="11.3984375"/>
  </cols>
  <sheetData>
    <row r="1" spans="1:10" s="145" customFormat="1" x14ac:dyDescent="0.35">
      <c r="A1" s="142"/>
      <c r="B1" s="143"/>
      <c r="C1" s="143"/>
      <c r="D1" s="144"/>
      <c r="E1" s="144"/>
      <c r="F1" s="144"/>
      <c r="G1" s="144"/>
      <c r="H1" s="143"/>
      <c r="I1" s="143"/>
    </row>
    <row r="2" spans="1:10" s="145" customFormat="1" x14ac:dyDescent="0.35">
      <c r="A2" s="142"/>
      <c r="B2" s="143"/>
      <c r="C2" s="143"/>
      <c r="D2" s="144"/>
      <c r="E2" s="144"/>
      <c r="F2" s="144"/>
      <c r="G2" s="144"/>
      <c r="H2" s="143"/>
      <c r="I2" s="143"/>
    </row>
    <row r="3" spans="1:10" s="145" customFormat="1" x14ac:dyDescent="0.35">
      <c r="A3" s="142"/>
      <c r="B3" s="143"/>
      <c r="C3" s="143"/>
      <c r="D3" s="144"/>
      <c r="E3" s="144"/>
      <c r="F3" s="144"/>
      <c r="G3" s="144"/>
      <c r="H3" s="143"/>
      <c r="I3" s="143"/>
    </row>
    <row r="4" spans="1:10" s="145" customFormat="1" ht="15.4" x14ac:dyDescent="0.35">
      <c r="A4" s="142"/>
      <c r="B4" s="143"/>
      <c r="C4" s="143"/>
      <c r="D4" s="144"/>
      <c r="E4" s="144"/>
      <c r="F4" s="144"/>
      <c r="G4" s="144"/>
      <c r="H4" s="143"/>
      <c r="I4" s="139"/>
    </row>
    <row r="5" spans="1:10" s="145" customFormat="1" x14ac:dyDescent="0.35">
      <c r="A5" s="142"/>
      <c r="B5" s="143"/>
      <c r="C5" s="143"/>
      <c r="D5" s="144"/>
      <c r="E5" s="144"/>
      <c r="F5" s="144"/>
      <c r="G5" s="144"/>
      <c r="H5" s="143"/>
      <c r="I5" s="143"/>
    </row>
    <row r="6" spans="1:10" s="145" customFormat="1" x14ac:dyDescent="0.35">
      <c r="A6" s="142"/>
      <c r="B6" s="143"/>
      <c r="C6" s="143"/>
      <c r="D6" s="144"/>
      <c r="E6" s="144"/>
      <c r="F6" s="144"/>
      <c r="G6" s="144"/>
      <c r="H6" s="143"/>
      <c r="I6" s="143"/>
    </row>
    <row r="7" spans="1:10" s="145" customFormat="1" x14ac:dyDescent="0.35">
      <c r="A7" s="142"/>
      <c r="B7" s="143"/>
      <c r="C7" s="143"/>
      <c r="D7" s="144"/>
      <c r="E7" s="144"/>
      <c r="F7" s="144"/>
      <c r="G7" s="144"/>
      <c r="H7" s="143"/>
      <c r="I7" s="143"/>
    </row>
    <row r="8" spans="1:10" s="145" customFormat="1" x14ac:dyDescent="0.35">
      <c r="A8" s="142"/>
      <c r="B8" s="143"/>
      <c r="C8" s="143"/>
      <c r="D8" s="144"/>
      <c r="E8" s="144"/>
      <c r="F8" s="144"/>
      <c r="G8" s="144"/>
      <c r="H8" s="143"/>
      <c r="I8" s="143"/>
    </row>
    <row r="9" spans="1:10" s="145" customFormat="1" x14ac:dyDescent="0.35">
      <c r="A9" s="142"/>
      <c r="B9" s="143"/>
      <c r="C9" s="143"/>
      <c r="D9" s="144"/>
      <c r="E9" s="144"/>
      <c r="F9" s="144"/>
      <c r="G9" s="144"/>
      <c r="H9" s="143"/>
      <c r="I9" s="143"/>
    </row>
    <row r="10" spans="1:10" s="145" customFormat="1" ht="18" x14ac:dyDescent="0.35">
      <c r="A10" s="142"/>
      <c r="B10" s="143"/>
      <c r="C10" s="143"/>
      <c r="D10" s="146"/>
      <c r="E10" s="146"/>
      <c r="F10" s="146"/>
      <c r="G10" s="144"/>
      <c r="H10" s="143"/>
      <c r="I10" s="143"/>
    </row>
    <row r="11" spans="1:10" s="145" customFormat="1" ht="18" x14ac:dyDescent="0.35">
      <c r="A11" s="142"/>
      <c r="B11" s="143"/>
      <c r="C11" s="143"/>
      <c r="D11" s="146"/>
      <c r="E11" s="146"/>
      <c r="F11" s="146"/>
      <c r="H11" s="143"/>
      <c r="I11" s="143"/>
    </row>
    <row r="12" spans="1:10" s="145" customFormat="1" ht="18" x14ac:dyDescent="0.35">
      <c r="A12" s="142"/>
      <c r="B12" s="143"/>
      <c r="C12" s="143"/>
      <c r="D12" s="146"/>
      <c r="E12" s="146"/>
      <c r="F12" s="146"/>
      <c r="G12" s="144"/>
      <c r="H12" s="143"/>
      <c r="I12" s="143"/>
    </row>
    <row r="13" spans="1:10" s="145" customFormat="1" ht="18" x14ac:dyDescent="0.35">
      <c r="A13" s="142"/>
      <c r="B13" s="143"/>
      <c r="C13" s="143"/>
      <c r="D13" s="146"/>
      <c r="E13" s="146"/>
      <c r="F13" s="146"/>
      <c r="G13" s="144"/>
      <c r="H13" s="143"/>
      <c r="I13" s="143"/>
    </row>
    <row r="14" spans="1:10" s="145" customFormat="1" ht="18" x14ac:dyDescent="0.35">
      <c r="A14" s="224" t="s">
        <v>186</v>
      </c>
      <c r="B14" s="225">
        <f ca="1">TODAY()</f>
        <v>46128</v>
      </c>
      <c r="D14" s="146"/>
      <c r="E14" s="146"/>
      <c r="F14" s="146"/>
      <c r="G14" s="144"/>
      <c r="H14" s="143"/>
      <c r="I14" s="143"/>
    </row>
    <row r="15" spans="1:10" s="145" customFormat="1" ht="18" x14ac:dyDescent="0.35">
      <c r="A15" s="142"/>
      <c r="B15" s="143"/>
      <c r="C15" s="143"/>
      <c r="D15" s="146"/>
      <c r="E15" s="146"/>
      <c r="F15" s="146"/>
      <c r="G15" s="144"/>
      <c r="H15" s="143"/>
      <c r="I15" s="143"/>
    </row>
    <row r="16" spans="1:10" s="145" customFormat="1" ht="18" x14ac:dyDescent="0.35">
      <c r="A16" s="142"/>
      <c r="B16" s="143"/>
      <c r="C16" s="143"/>
      <c r="D16" s="149"/>
      <c r="E16" s="146">
        <f ca="1">INDIRECT(CONCATENATE(K41,K40))</f>
        <v>0</v>
      </c>
      <c r="F16" s="146"/>
      <c r="G16" s="144"/>
      <c r="H16" s="143" t="str">
        <f>Créances!4:4</f>
        <v>FT TRADING</v>
      </c>
      <c r="I16" s="143" t="s">
        <v>133</v>
      </c>
      <c r="J16" s="145">
        <f ca="1">INDIRECT(CONCATENATE(K41,K40))</f>
        <v>0</v>
      </c>
    </row>
    <row r="17" spans="1:12" s="145" customFormat="1" ht="18" x14ac:dyDescent="0.35">
      <c r="A17" s="142"/>
      <c r="B17" s="143"/>
      <c r="C17" s="143"/>
      <c r="D17" s="149"/>
      <c r="E17" s="146" t="s">
        <v>176</v>
      </c>
      <c r="F17" s="146"/>
      <c r="G17" s="144"/>
      <c r="H17" s="143"/>
      <c r="I17" s="143"/>
      <c r="L17" s="128"/>
    </row>
    <row r="18" spans="1:12" s="145" customFormat="1" ht="18" x14ac:dyDescent="0.35">
      <c r="A18" s="142"/>
      <c r="B18" s="143"/>
      <c r="C18" s="143"/>
      <c r="D18" s="149"/>
      <c r="E18" s="226" t="s">
        <v>177</v>
      </c>
      <c r="F18" s="146"/>
      <c r="G18" s="144"/>
      <c r="H18" s="143"/>
      <c r="I18" s="143"/>
      <c r="L18" s="128"/>
    </row>
    <row r="19" spans="1:12" s="145" customFormat="1" ht="18" x14ac:dyDescent="0.35">
      <c r="A19" s="142"/>
      <c r="B19" s="143"/>
      <c r="C19" s="143"/>
      <c r="D19" s="149"/>
      <c r="F19" s="146"/>
      <c r="G19" s="144"/>
      <c r="H19" s="143"/>
      <c r="I19" s="143"/>
      <c r="L19" s="128"/>
    </row>
    <row r="20" spans="1:12" s="145" customFormat="1" ht="18" x14ac:dyDescent="0.35">
      <c r="A20" s="142"/>
      <c r="B20" s="143"/>
      <c r="C20" s="143"/>
      <c r="D20" s="149"/>
      <c r="F20" s="146"/>
      <c r="G20" s="144"/>
      <c r="H20" s="143"/>
      <c r="I20" s="143"/>
      <c r="L20" s="128"/>
    </row>
    <row r="21" spans="1:12" s="145" customFormat="1" ht="18" x14ac:dyDescent="0.35">
      <c r="A21" s="142"/>
      <c r="B21" s="143"/>
      <c r="C21" s="143"/>
      <c r="D21" s="149"/>
      <c r="E21" s="226"/>
      <c r="F21" s="146"/>
      <c r="G21" s="144"/>
      <c r="H21" s="143"/>
      <c r="I21" s="143"/>
      <c r="L21" s="128"/>
    </row>
    <row r="22" spans="1:12" s="145" customFormat="1" ht="18" x14ac:dyDescent="0.35">
      <c r="A22" s="142"/>
      <c r="B22" s="143"/>
      <c r="C22" s="143"/>
      <c r="D22" s="149"/>
      <c r="E22" s="226"/>
      <c r="F22" s="146"/>
      <c r="G22" s="144"/>
      <c r="H22" s="143"/>
      <c r="I22" s="143"/>
      <c r="L22" s="128"/>
    </row>
    <row r="23" spans="1:12" s="145" customFormat="1" ht="18" x14ac:dyDescent="0.35">
      <c r="A23" s="227" t="s">
        <v>152</v>
      </c>
      <c r="B23" s="149" t="str">
        <f>IF(A23="LR/AR","LETTRE DE MISE EN DEMEURE","")</f>
        <v/>
      </c>
      <c r="C23" s="143"/>
      <c r="D23" s="146"/>
      <c r="E23" s="149"/>
      <c r="F23" s="146"/>
      <c r="G23" s="144"/>
      <c r="H23" s="143"/>
      <c r="I23" s="229" t="s">
        <v>135</v>
      </c>
      <c r="J23" s="230"/>
      <c r="K23" s="231" t="s">
        <v>136</v>
      </c>
      <c r="L23" s="232"/>
    </row>
    <row r="24" spans="1:12" s="145" customFormat="1" ht="18" x14ac:dyDescent="0.35">
      <c r="A24" s="227" t="s">
        <v>137</v>
      </c>
      <c r="B24" s="149" t="s">
        <v>178</v>
      </c>
      <c r="D24" s="146"/>
      <c r="E24" s="146"/>
      <c r="F24" s="146"/>
      <c r="G24" s="233" t="s">
        <v>139</v>
      </c>
      <c r="H24" s="234"/>
      <c r="I24" s="235" t="s">
        <v>140</v>
      </c>
      <c r="J24" s="233" t="s">
        <v>141</v>
      </c>
      <c r="K24" s="235" t="s">
        <v>140</v>
      </c>
      <c r="L24" s="233" t="s">
        <v>141</v>
      </c>
    </row>
    <row r="25" spans="1:12" s="145" customFormat="1" ht="18" x14ac:dyDescent="0.35">
      <c r="A25" s="227" t="s">
        <v>142</v>
      </c>
      <c r="B25" s="149" t="str">
        <f ca="1">CONCATENATE(H16, I16, J16)</f>
        <v>FT TRADING / 0</v>
      </c>
      <c r="D25" s="146"/>
      <c r="E25" s="146"/>
      <c r="F25" s="146"/>
      <c r="G25" s="233" t="s">
        <v>134</v>
      </c>
      <c r="H25" s="234" t="s">
        <v>143</v>
      </c>
      <c r="I25" s="235" t="s">
        <v>144</v>
      </c>
      <c r="J25" s="233" t="s">
        <v>144</v>
      </c>
      <c r="K25" s="233" t="s">
        <v>144</v>
      </c>
      <c r="L25" s="233" t="s">
        <v>144</v>
      </c>
    </row>
    <row r="26" spans="1:12" s="145" customFormat="1" ht="18" x14ac:dyDescent="0.35">
      <c r="A26" s="152"/>
      <c r="B26" s="153"/>
      <c r="D26" s="146"/>
      <c r="E26" s="146"/>
      <c r="F26" s="146"/>
      <c r="G26" s="233" t="s">
        <v>145</v>
      </c>
      <c r="H26" s="234" t="s">
        <v>146</v>
      </c>
      <c r="I26" s="235" t="s">
        <v>144</v>
      </c>
      <c r="J26" s="233" t="s">
        <v>147</v>
      </c>
      <c r="K26" s="233" t="s">
        <v>144</v>
      </c>
      <c r="L26" s="233" t="s">
        <v>147</v>
      </c>
    </row>
    <row r="27" spans="1:12" s="145" customFormat="1" x14ac:dyDescent="0.35">
      <c r="A27" s="142"/>
      <c r="D27" s="144"/>
      <c r="E27" s="144"/>
      <c r="F27" s="144"/>
      <c r="G27" s="233" t="s">
        <v>148</v>
      </c>
      <c r="H27" s="234" t="s">
        <v>149</v>
      </c>
      <c r="I27" s="235" t="s">
        <v>150</v>
      </c>
      <c r="J27" s="233" t="s">
        <v>147</v>
      </c>
      <c r="K27" s="231">
        <v>800</v>
      </c>
      <c r="L27" s="233" t="s">
        <v>147</v>
      </c>
    </row>
    <row r="28" spans="1:12" s="145" customFormat="1" ht="21" x14ac:dyDescent="0.35">
      <c r="A28" s="142"/>
      <c r="B28" s="236" t="s">
        <v>151</v>
      </c>
      <c r="C28" s="151"/>
      <c r="D28" s="144"/>
      <c r="E28" s="144"/>
      <c r="F28" s="144"/>
      <c r="G28" s="233" t="s">
        <v>152</v>
      </c>
      <c r="H28" s="233" t="s">
        <v>153</v>
      </c>
      <c r="I28" s="235" t="s">
        <v>150</v>
      </c>
      <c r="J28" s="233" t="s">
        <v>150</v>
      </c>
      <c r="K28" s="231">
        <v>200</v>
      </c>
      <c r="L28" s="231">
        <v>300</v>
      </c>
    </row>
    <row r="29" spans="1:12" s="145" customFormat="1" x14ac:dyDescent="0.35">
      <c r="A29" s="142"/>
      <c r="B29" s="143"/>
      <c r="C29" s="143"/>
      <c r="D29" s="144"/>
      <c r="E29" s="144"/>
      <c r="F29" s="144"/>
      <c r="G29" s="144" t="s">
        <v>154</v>
      </c>
      <c r="H29" s="143"/>
      <c r="I29" s="143"/>
    </row>
    <row r="30" spans="1:12" s="145" customFormat="1" ht="18" x14ac:dyDescent="0.35">
      <c r="A30" s="142"/>
      <c r="B30" s="400" t="s">
        <v>155</v>
      </c>
      <c r="C30" s="400"/>
      <c r="D30" s="400"/>
      <c r="E30" s="400"/>
      <c r="F30" s="400"/>
      <c r="G30" s="144"/>
      <c r="H30" s="143"/>
      <c r="I30" s="143"/>
    </row>
    <row r="31" spans="1:12" s="145" customFormat="1" ht="20.25" x14ac:dyDescent="0.35">
      <c r="A31" s="142"/>
      <c r="B31" s="237" t="s">
        <v>156</v>
      </c>
      <c r="C31" s="143"/>
      <c r="D31" s="238">
        <f ca="1">IF(A23="L1",F33+F34+F35,IF(A23="L2",F33+F34,IF(A23="L3",F33+F34,F33+F34+F35)))</f>
        <v>500</v>
      </c>
      <c r="E31" s="147" t="s">
        <v>157</v>
      </c>
      <c r="F31" s="144"/>
      <c r="G31" s="144"/>
      <c r="H31" s="143"/>
      <c r="I31" s="143"/>
    </row>
    <row r="32" spans="1:12" s="145" customFormat="1" ht="16.5" customHeight="1" x14ac:dyDescent="0.35">
      <c r="A32" s="142"/>
      <c r="G32" s="144"/>
      <c r="H32" s="143"/>
      <c r="I32" s="143"/>
    </row>
    <row r="33" spans="1:16" s="145" customFormat="1" ht="18" x14ac:dyDescent="0.35">
      <c r="A33" s="142"/>
      <c r="B33" s="239" t="s">
        <v>158</v>
      </c>
      <c r="C33" s="240"/>
      <c r="D33" s="241"/>
      <c r="E33" s="241"/>
      <c r="F33" s="242">
        <f ca="1">INDIRECT(CONCATENATE(L41,K40))</f>
        <v>0</v>
      </c>
      <c r="G33" s="144"/>
      <c r="H33" s="143"/>
      <c r="I33" s="143"/>
    </row>
    <row r="34" spans="1:16" s="145" customFormat="1" ht="54.75" customHeight="1" x14ac:dyDescent="0.35">
      <c r="B34" s="401" t="s">
        <v>196</v>
      </c>
      <c r="C34" s="402"/>
      <c r="D34" s="402"/>
      <c r="E34" s="403"/>
      <c r="F34" s="242">
        <f ca="1">IF(OR(A23="L1",A23="LR/AR"),INDIRECT(CONCATENATE(M41,K40)),IF(A23="L2",INDIRECT(CONCATENATE(M41,K40)),IF(A23="L3",K27,IF(A23="L4",K28))))</f>
        <v>200</v>
      </c>
      <c r="G34" s="144"/>
      <c r="H34" s="143"/>
      <c r="I34" s="143"/>
    </row>
    <row r="35" spans="1:16" s="145" customFormat="1" ht="75" customHeight="1" x14ac:dyDescent="0.35">
      <c r="B35" s="401" t="str">
        <f>IF(OR(A23="L1",A23="LR/AR"),K35,IF(A23="L4",K35," "))</f>
        <v>Indemnités de recouvrement : Tout professionnel en situation de retard de paiement est de plein droit débiteur, à l’égard du créancier, d’une indemnité forfaitaire pour frais de recouvrement d’un montant minimum fixé à 40€ par facture (art. L441-6 et art. D.441-5 du Code de Commerce).</v>
      </c>
      <c r="C35" s="402"/>
      <c r="D35" s="402"/>
      <c r="E35" s="403"/>
      <c r="F35" s="242">
        <f ca="1">IF(OR(A23="L1",A23="LR/AR"),INDIRECT(CONCATENATE(N41,K40)),IF(A23="L2"," ",IF(A23="L3"," ",IF(A23="L4",L28))))</f>
        <v>300</v>
      </c>
      <c r="G35" s="144"/>
      <c r="H35" s="143"/>
      <c r="I35" s="143"/>
      <c r="K35" s="361" t="s">
        <v>194</v>
      </c>
    </row>
    <row r="36" spans="1:16" s="145" customFormat="1" x14ac:dyDescent="0.35">
      <c r="G36" s="144"/>
      <c r="H36" s="143"/>
      <c r="I36" s="143"/>
    </row>
    <row r="37" spans="1:16" s="145" customFormat="1" ht="20.25" x14ac:dyDescent="0.35">
      <c r="A37" s="152"/>
      <c r="B37" s="237" t="str">
        <f>IF(A23="LR/AR", "Nous vous mettons en demeure de nous régler sous 8 jours francs la dite somme de","Nous vous demandons de nous faire parvenir sous 8 jours francs la dite somme de")</f>
        <v>Nous vous demandons de nous faire parvenir sous 8 jours francs la dite somme de</v>
      </c>
      <c r="F37" s="243">
        <f ca="1">IF(A23="L1",F33+F34+F35,IF(A23="L2",F33+F34,IF(A23="L3",F33+K27,F33+F34+F35)))</f>
        <v>500</v>
      </c>
      <c r="G37" s="144"/>
      <c r="H37" s="143"/>
      <c r="I37" s="143"/>
      <c r="K37" s="145" t="s">
        <v>159</v>
      </c>
    </row>
    <row r="38" spans="1:16" s="145" customFormat="1" ht="20.25" customHeight="1" x14ac:dyDescent="0.35">
      <c r="B38" s="400" t="s">
        <v>160</v>
      </c>
      <c r="C38" s="400"/>
      <c r="D38" s="400"/>
      <c r="E38" s="400"/>
      <c r="F38" s="400"/>
      <c r="G38" s="144"/>
      <c r="H38" s="143"/>
      <c r="I38" s="143"/>
      <c r="K38" s="154" t="s">
        <v>123</v>
      </c>
      <c r="L38" s="154" t="s">
        <v>124</v>
      </c>
      <c r="M38" s="145" t="s">
        <v>161</v>
      </c>
      <c r="N38" s="145" t="s">
        <v>162</v>
      </c>
      <c r="O38" s="145" t="s">
        <v>163</v>
      </c>
    </row>
    <row r="39" spans="1:16" s="145" customFormat="1" ht="23.25" customHeight="1" x14ac:dyDescent="0.35">
      <c r="A39" s="152"/>
      <c r="B39" s="244"/>
      <c r="C39" s="244"/>
      <c r="D39" s="244"/>
      <c r="E39" s="244"/>
      <c r="F39" s="245"/>
      <c r="G39" s="144"/>
      <c r="H39" s="143"/>
      <c r="I39" s="143"/>
      <c r="K39" s="154" t="str">
        <f>RIGHT(B24,6)</f>
        <v>000713</v>
      </c>
      <c r="L39" s="154"/>
      <c r="P39" s="155"/>
    </row>
    <row r="40" spans="1:16" s="145" customFormat="1" ht="22.5" customHeight="1" x14ac:dyDescent="0.35">
      <c r="A40" s="156"/>
      <c r="B40" s="399" t="s">
        <v>164</v>
      </c>
      <c r="C40" s="399"/>
      <c r="D40" s="399"/>
      <c r="E40" s="399"/>
      <c r="F40" s="399"/>
      <c r="G40" s="144"/>
      <c r="H40" s="143"/>
      <c r="I40" s="143"/>
      <c r="K40" s="154">
        <f>LEFT(K39,4)+16</f>
        <v>23</v>
      </c>
      <c r="L40" s="154"/>
    </row>
    <row r="41" spans="1:16" s="145" customFormat="1" ht="23.25" customHeight="1" x14ac:dyDescent="0.35">
      <c r="A41" s="131"/>
      <c r="B41" s="399"/>
      <c r="C41" s="399"/>
      <c r="D41" s="399"/>
      <c r="E41" s="399"/>
      <c r="F41" s="399"/>
      <c r="G41" s="131"/>
      <c r="H41" s="143"/>
      <c r="I41" s="143"/>
      <c r="K41" s="157" t="s">
        <v>125</v>
      </c>
      <c r="L41" s="157" t="s">
        <v>126</v>
      </c>
      <c r="M41" s="157" t="s">
        <v>165</v>
      </c>
      <c r="N41" s="157" t="s">
        <v>166</v>
      </c>
      <c r="O41" s="157" t="s">
        <v>167</v>
      </c>
    </row>
    <row r="42" spans="1:16" s="145" customFormat="1" ht="24.75" customHeight="1" x14ac:dyDescent="0.35">
      <c r="A42" s="128"/>
      <c r="B42" s="399"/>
      <c r="C42" s="399"/>
      <c r="D42" s="399"/>
      <c r="E42" s="399"/>
      <c r="F42" s="399"/>
      <c r="G42" s="143"/>
      <c r="H42" s="143"/>
      <c r="L42" s="154" t="s">
        <v>127</v>
      </c>
    </row>
    <row r="43" spans="1:16" s="145" customFormat="1" ht="19.5" customHeight="1" x14ac:dyDescent="0.35">
      <c r="A43" s="128"/>
      <c r="B43" s="399" t="s">
        <v>168</v>
      </c>
      <c r="C43" s="399"/>
      <c r="D43" s="399"/>
      <c r="E43" s="399"/>
      <c r="F43" s="399"/>
      <c r="G43" s="143"/>
      <c r="H43" s="143"/>
    </row>
    <row r="44" spans="1:16" s="145" customFormat="1" ht="24" customHeight="1" x14ac:dyDescent="0.35">
      <c r="A44" s="141"/>
      <c r="B44" s="399"/>
      <c r="C44" s="399"/>
      <c r="D44" s="399"/>
      <c r="E44" s="399"/>
      <c r="F44" s="399"/>
      <c r="G44" s="143"/>
      <c r="H44" s="143"/>
    </row>
    <row r="45" spans="1:16" ht="15" customHeight="1" x14ac:dyDescent="0.45">
      <c r="A45" s="128"/>
      <c r="B45" s="399"/>
      <c r="C45" s="399"/>
      <c r="D45" s="399"/>
      <c r="E45" s="399"/>
      <c r="F45" s="399"/>
    </row>
    <row r="46" spans="1:16" x14ac:dyDescent="0.45">
      <c r="A46" s="128"/>
      <c r="B46" s="128"/>
      <c r="C46" s="128"/>
      <c r="G46" s="159"/>
    </row>
    <row r="47" spans="1:16" ht="18" x14ac:dyDescent="0.45">
      <c r="A47" s="140"/>
      <c r="B47" s="237" t="s">
        <v>169</v>
      </c>
      <c r="C47" s="128"/>
      <c r="G47" s="159"/>
    </row>
    <row r="48" spans="1:16" ht="15" x14ac:dyDescent="0.45">
      <c r="A48" s="140"/>
      <c r="C48" s="128"/>
      <c r="G48" s="159"/>
    </row>
    <row r="49" spans="1:7" ht="20.25" x14ac:dyDescent="0.55000000000000004">
      <c r="A49" s="255"/>
      <c r="B49" s="249"/>
      <c r="C49" s="128"/>
      <c r="E49" s="243"/>
      <c r="F49" s="159"/>
      <c r="G49" s="159"/>
    </row>
    <row r="50" spans="1:7" ht="20.25" x14ac:dyDescent="0.55000000000000004">
      <c r="A50" s="255"/>
      <c r="B50" s="249"/>
      <c r="C50" s="128"/>
      <c r="F50" s="243"/>
      <c r="G50" s="159"/>
    </row>
    <row r="51" spans="1:7" ht="18.399999999999999" thickBot="1" x14ac:dyDescent="0.6">
      <c r="A51" s="255"/>
      <c r="B51" s="249"/>
      <c r="C51" s="246" t="s">
        <v>170</v>
      </c>
      <c r="D51" s="246"/>
    </row>
    <row r="52" spans="1:7" ht="18" x14ac:dyDescent="0.55000000000000004">
      <c r="A52" s="140"/>
      <c r="C52" s="128"/>
      <c r="D52" s="335" t="s">
        <v>171</v>
      </c>
      <c r="E52" s="247"/>
      <c r="F52" s="256"/>
    </row>
    <row r="53" spans="1:7" ht="15" customHeight="1" x14ac:dyDescent="0.55000000000000004">
      <c r="A53" s="251" t="s">
        <v>192</v>
      </c>
      <c r="C53" s="201"/>
      <c r="D53" s="336"/>
      <c r="E53" s="249"/>
      <c r="F53" s="257"/>
    </row>
    <row r="54" spans="1:7" ht="18" x14ac:dyDescent="0.45">
      <c r="A54" s="251" t="s">
        <v>193</v>
      </c>
      <c r="D54" s="337" t="s">
        <v>137</v>
      </c>
      <c r="E54" s="236" t="str">
        <f>B24</f>
        <v>940012/000713</v>
      </c>
      <c r="F54" s="257"/>
    </row>
    <row r="55" spans="1:7" ht="18" x14ac:dyDescent="0.45">
      <c r="A55" s="159"/>
      <c r="C55" s="128"/>
      <c r="D55" s="337" t="s">
        <v>142</v>
      </c>
      <c r="E55" s="236" t="str">
        <f ca="1">B25</f>
        <v>FT TRADING / 0</v>
      </c>
      <c r="F55" s="257"/>
    </row>
    <row r="56" spans="1:7" ht="18" x14ac:dyDescent="0.55000000000000004">
      <c r="A56" s="159"/>
      <c r="C56" s="128"/>
      <c r="D56" s="336" t="s">
        <v>190</v>
      </c>
      <c r="E56" s="249" t="s">
        <v>191</v>
      </c>
      <c r="F56" s="257"/>
    </row>
    <row r="57" spans="1:7" ht="18" x14ac:dyDescent="0.55000000000000004">
      <c r="A57" s="128"/>
      <c r="B57" s="128"/>
      <c r="C57" s="128"/>
      <c r="D57" s="336" t="s">
        <v>172</v>
      </c>
      <c r="E57" s="252"/>
      <c r="F57" s="257"/>
    </row>
    <row r="58" spans="1:7" ht="18" x14ac:dyDescent="0.55000000000000004">
      <c r="A58" s="138"/>
      <c r="B58" s="128"/>
      <c r="C58" s="128"/>
      <c r="D58" s="336" t="s">
        <v>173</v>
      </c>
      <c r="E58" s="252"/>
      <c r="F58" s="257"/>
    </row>
    <row r="59" spans="1:7" ht="18" x14ac:dyDescent="0.55000000000000004">
      <c r="A59" s="128"/>
      <c r="B59" s="128"/>
      <c r="C59" s="128"/>
      <c r="D59" s="336" t="s">
        <v>174</v>
      </c>
      <c r="E59" s="252"/>
      <c r="F59" s="257"/>
    </row>
    <row r="60" spans="1:7" ht="18.399999999999999" thickBot="1" x14ac:dyDescent="0.6">
      <c r="A60" s="128"/>
      <c r="D60" s="338" t="s">
        <v>175</v>
      </c>
      <c r="E60" s="253"/>
      <c r="F60" s="258"/>
    </row>
    <row r="61" spans="1:7" x14ac:dyDescent="0.45">
      <c r="A61" s="128"/>
      <c r="D61" s="159"/>
      <c r="E61" s="159"/>
      <c r="F61" s="159"/>
    </row>
  </sheetData>
  <mergeCells count="6">
    <mergeCell ref="B43:F45"/>
    <mergeCell ref="B30:F30"/>
    <mergeCell ref="B34:E34"/>
    <mergeCell ref="B35:E35"/>
    <mergeCell ref="B38:F38"/>
    <mergeCell ref="B40:F42"/>
  </mergeCells>
  <conditionalFormatting sqref="B34:E34">
    <cfRule type="cellIs" dxfId="5" priority="4" operator="equal">
      <formula>" "</formula>
    </cfRule>
  </conditionalFormatting>
  <conditionalFormatting sqref="B35:E35">
    <cfRule type="cellIs" dxfId="4" priority="1" operator="equal">
      <formula>" "</formula>
    </cfRule>
    <cfRule type="containsBlanks" dxfId="3" priority="5">
      <formula>LEN(TRIM(B35))=0</formula>
    </cfRule>
  </conditionalFormatting>
  <conditionalFormatting sqref="F35">
    <cfRule type="cellIs" dxfId="2" priority="2" operator="equal">
      <formula>" "</formula>
    </cfRule>
    <cfRule type="cellIs" dxfId="1" priority="3" operator="equal">
      <formula>" "</formula>
    </cfRule>
  </conditionalFormatting>
  <dataValidations count="1">
    <dataValidation type="list" allowBlank="1" showInputMessage="1" showErrorMessage="1" sqref="A23" xr:uid="{00000000-0002-0000-0700-000000000000}">
      <formula1>$G$25:$G$29</formula1>
    </dataValidation>
  </dataValidations>
  <pageMargins left="0.43307086614173229" right="0.43307086614173229" top="0" bottom="0.74803149606299213" header="0" footer="0.31496062992125984"/>
  <pageSetup paperSize="9" scale="63" orientation="portrait" r:id="rId1"/>
  <headerFooter>
    <oddHeader xml:space="preserve">&amp;C
&amp;G&amp;R
</oddHeader>
    <oddFooter>&amp;C&amp;G</oddFooter>
  </headerFooter>
  <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1000000}">
          <x14:formula1>
            <xm:f>Créances!$F$17:$F$1000</xm:f>
          </x14:formula1>
          <xm:sqref>B24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15"/>
  <dimension ref="A1:P62"/>
  <sheetViews>
    <sheetView topLeftCell="A25" zoomScale="85" zoomScaleNormal="85" workbookViewId="0">
      <selection activeCell="E30" sqref="E30"/>
    </sheetView>
  </sheetViews>
  <sheetFormatPr baseColWidth="10" defaultColWidth="11.3984375" defaultRowHeight="14.25" x14ac:dyDescent="0.45"/>
  <cols>
    <col min="1" max="1" customWidth="true" style="160" width="16.3984375"/>
    <col min="2" max="2" customWidth="true" style="159" width="23.0"/>
    <col min="3" max="3" customWidth="true" style="159" width="16.73046875"/>
    <col min="4" max="4" customWidth="true" style="158" width="26.3984375"/>
    <col min="5" max="5" customWidth="true" style="158" width="27.3984375"/>
    <col min="6" max="6" customWidth="true" style="158" width="22.73046875"/>
    <col min="7" max="7" customWidth="true" style="158" width="17.73046875"/>
    <col min="8" max="8" customWidth="true" style="159" width="14.265625"/>
    <col min="9" max="9" style="159" width="11.3984375"/>
    <col min="10" max="10" customWidth="true" style="159" width="11.3984375"/>
    <col min="11" max="11" bestFit="true" customWidth="true" style="159" width="30.59765625"/>
    <col min="12" max="12" customWidth="true" style="159" width="34.73046875"/>
    <col min="13" max="13" bestFit="true" customWidth="true" style="159" width="22.73046875"/>
    <col min="14" max="14" bestFit="true" customWidth="true" style="159" width="24.73046875"/>
    <col min="15" max="15" bestFit="true" customWidth="true" style="159" width="25.265625"/>
    <col min="16" max="16384" style="159" width="11.3984375"/>
  </cols>
  <sheetData>
    <row r="1" spans="1:9" s="145" customFormat="1" x14ac:dyDescent="0.35">
      <c r="A1" s="142"/>
      <c r="B1" s="143"/>
      <c r="C1" s="143"/>
      <c r="D1" s="144"/>
      <c r="E1" s="144"/>
      <c r="F1" s="144"/>
      <c r="G1" s="144"/>
      <c r="H1" s="143"/>
      <c r="I1" s="143"/>
    </row>
    <row r="2" spans="1:9" s="145" customFormat="1" x14ac:dyDescent="0.35">
      <c r="A2" s="142"/>
      <c r="B2" s="143"/>
      <c r="C2" s="143"/>
      <c r="D2" s="144"/>
      <c r="E2" s="144"/>
      <c r="F2" s="144"/>
      <c r="G2" s="144"/>
      <c r="H2" s="143"/>
      <c r="I2" s="143"/>
    </row>
    <row r="3" spans="1:9" s="145" customFormat="1" x14ac:dyDescent="0.35">
      <c r="A3" s="142"/>
      <c r="B3" s="143"/>
      <c r="C3" s="143"/>
      <c r="D3" s="144"/>
      <c r="E3" s="144"/>
      <c r="F3" s="144"/>
      <c r="G3" s="144"/>
      <c r="H3" s="143"/>
      <c r="I3" s="143"/>
    </row>
    <row r="4" spans="1:9" s="145" customFormat="1" ht="15.4" x14ac:dyDescent="0.35">
      <c r="A4" s="142"/>
      <c r="B4" s="143"/>
      <c r="C4" s="143"/>
      <c r="D4" s="144"/>
      <c r="E4" s="144"/>
      <c r="F4" s="144"/>
      <c r="G4" s="144"/>
      <c r="H4" s="143"/>
      <c r="I4" s="139"/>
    </row>
    <row r="5" spans="1:9" s="145" customFormat="1" x14ac:dyDescent="0.35">
      <c r="A5" s="142"/>
      <c r="B5" s="143"/>
      <c r="C5" s="143"/>
      <c r="D5" s="144"/>
      <c r="E5" s="144"/>
      <c r="F5" s="144"/>
      <c r="G5" s="144"/>
      <c r="H5" s="143"/>
      <c r="I5" s="143"/>
    </row>
    <row r="6" spans="1:9" s="145" customFormat="1" x14ac:dyDescent="0.35">
      <c r="A6" s="142"/>
      <c r="B6" s="143"/>
      <c r="C6" s="143"/>
      <c r="D6" s="144"/>
      <c r="E6" s="144"/>
      <c r="F6" s="144"/>
      <c r="G6" s="144"/>
      <c r="H6" s="143"/>
      <c r="I6" s="143"/>
    </row>
    <row r="7" spans="1:9" s="145" customFormat="1" x14ac:dyDescent="0.35">
      <c r="A7" s="142"/>
      <c r="B7" s="143"/>
      <c r="C7" s="143"/>
      <c r="D7" s="144"/>
      <c r="E7" s="144"/>
      <c r="F7" s="144"/>
      <c r="G7" s="144"/>
      <c r="H7" s="143"/>
      <c r="I7" s="143"/>
    </row>
    <row r="8" spans="1:9" s="145" customFormat="1" x14ac:dyDescent="0.35">
      <c r="A8" s="142"/>
      <c r="B8" s="143"/>
      <c r="C8" s="143"/>
      <c r="D8" s="144"/>
      <c r="E8" s="144"/>
      <c r="F8" s="144"/>
      <c r="G8" s="144"/>
      <c r="H8" s="143"/>
      <c r="I8" s="143"/>
    </row>
    <row r="9" spans="1:9" s="145" customFormat="1" x14ac:dyDescent="0.35">
      <c r="A9" s="142"/>
      <c r="B9" s="143"/>
      <c r="C9" s="143"/>
      <c r="D9" s="144"/>
      <c r="E9" s="144"/>
      <c r="F9" s="144"/>
      <c r="G9" s="144"/>
      <c r="H9" s="143"/>
      <c r="I9" s="143"/>
    </row>
    <row r="10" spans="1:9" s="145" customFormat="1" ht="18" x14ac:dyDescent="0.35">
      <c r="A10" s="142"/>
      <c r="B10" s="143"/>
      <c r="C10" s="143"/>
      <c r="D10" s="146"/>
      <c r="E10" s="146"/>
      <c r="F10" s="146"/>
      <c r="G10" s="144"/>
      <c r="H10" s="143"/>
      <c r="I10" s="143"/>
    </row>
    <row r="11" spans="1:9" s="145" customFormat="1" ht="18" x14ac:dyDescent="0.35">
      <c r="A11" s="142"/>
      <c r="B11" s="143"/>
      <c r="C11" s="143"/>
      <c r="D11" s="146"/>
      <c r="E11" s="146"/>
      <c r="F11" s="146"/>
      <c r="G11" s="144"/>
      <c r="H11" s="143"/>
      <c r="I11" s="143"/>
    </row>
    <row r="12" spans="1:9" s="145" customFormat="1" ht="18" x14ac:dyDescent="0.35">
      <c r="A12" s="142"/>
      <c r="B12" s="143"/>
      <c r="C12" s="143"/>
      <c r="D12" s="146"/>
      <c r="E12" s="146"/>
      <c r="F12" s="146"/>
      <c r="G12" s="144"/>
      <c r="H12" s="143"/>
      <c r="I12" s="143"/>
    </row>
    <row r="13" spans="1:9" s="145" customFormat="1" ht="18" x14ac:dyDescent="0.35">
      <c r="A13" s="142"/>
      <c r="B13" s="143"/>
      <c r="C13" s="143"/>
      <c r="D13" s="146"/>
      <c r="E13" s="146"/>
      <c r="F13" s="146"/>
      <c r="H13" s="143"/>
      <c r="I13" s="143"/>
    </row>
    <row r="14" spans="1:9" s="145" customFormat="1" ht="18" x14ac:dyDescent="0.35">
      <c r="A14" s="224" t="s">
        <v>186</v>
      </c>
      <c r="B14" s="225">
        <f ca="1">TODAY()</f>
        <v>46128</v>
      </c>
      <c r="C14" s="143"/>
      <c r="D14" s="146"/>
      <c r="E14" s="146"/>
      <c r="F14" s="146"/>
      <c r="G14" s="144"/>
      <c r="H14" s="143"/>
      <c r="I14" s="143"/>
    </row>
    <row r="15" spans="1:9" s="145" customFormat="1" ht="18" x14ac:dyDescent="0.35">
      <c r="A15" s="142"/>
      <c r="B15" s="143"/>
      <c r="C15" s="143"/>
      <c r="D15" s="146"/>
      <c r="E15" s="146"/>
      <c r="F15" s="146"/>
      <c r="G15" s="144"/>
      <c r="H15" s="143"/>
      <c r="I15" s="143"/>
    </row>
    <row r="16" spans="1:9" s="145" customFormat="1" ht="18" x14ac:dyDescent="0.35">
      <c r="A16" s="142"/>
      <c r="B16" s="143"/>
      <c r="C16" s="143"/>
      <c r="D16" s="146"/>
      <c r="E16" s="146"/>
      <c r="F16" s="146"/>
      <c r="G16" s="144"/>
      <c r="H16" s="143"/>
      <c r="I16" s="143"/>
    </row>
    <row r="17" spans="1:12" s="145" customFormat="1" ht="18" x14ac:dyDescent="0.35">
      <c r="A17" s="142"/>
      <c r="B17" s="143"/>
      <c r="C17" s="143"/>
      <c r="D17" s="146"/>
      <c r="E17" s="146">
        <f ca="1">INDIRECT(CONCATENATE(K44,K43))</f>
        <v>0</v>
      </c>
      <c r="F17" s="146"/>
      <c r="G17" s="144"/>
      <c r="H17" s="143"/>
      <c r="I17" s="143"/>
    </row>
    <row r="18" spans="1:12" s="145" customFormat="1" ht="18" x14ac:dyDescent="0.35">
      <c r="A18" s="142"/>
      <c r="B18" s="143"/>
      <c r="C18" s="143"/>
      <c r="D18" s="146"/>
      <c r="E18" s="226" t="s">
        <v>179</v>
      </c>
      <c r="F18" s="146"/>
      <c r="G18" s="144"/>
      <c r="H18" s="143"/>
      <c r="I18" s="143"/>
    </row>
    <row r="19" spans="1:12" s="145" customFormat="1" ht="18" x14ac:dyDescent="0.35">
      <c r="A19" s="142"/>
      <c r="B19" s="143"/>
      <c r="C19" s="143"/>
      <c r="D19" s="149"/>
      <c r="E19" s="226" t="s">
        <v>180</v>
      </c>
      <c r="F19" s="146"/>
      <c r="G19" s="144"/>
      <c r="H19" s="143" t="str">
        <f>Créances!4:4</f>
        <v>FT TRADING</v>
      </c>
      <c r="I19" s="143" t="s">
        <v>133</v>
      </c>
      <c r="J19" s="145">
        <f ca="1">INDIRECT(CONCATENATE(K44,K43))</f>
        <v>0</v>
      </c>
    </row>
    <row r="20" spans="1:12" s="145" customFormat="1" ht="18" x14ac:dyDescent="0.35">
      <c r="A20" s="142"/>
      <c r="B20" s="143"/>
      <c r="C20" s="143"/>
      <c r="D20" s="149"/>
      <c r="F20" s="146"/>
      <c r="G20" s="144"/>
      <c r="H20" s="143"/>
      <c r="I20" s="143"/>
      <c r="L20" s="128"/>
    </row>
    <row r="21" spans="1:12" s="145" customFormat="1" ht="18" x14ac:dyDescent="0.35">
      <c r="A21" s="142"/>
      <c r="B21" s="143"/>
      <c r="C21" s="143"/>
      <c r="D21" s="149"/>
      <c r="F21" s="146"/>
      <c r="G21" s="144"/>
      <c r="H21" s="143"/>
      <c r="I21" s="143"/>
      <c r="L21" s="128"/>
    </row>
    <row r="22" spans="1:12" s="145" customFormat="1" ht="18" x14ac:dyDescent="0.35">
      <c r="A22" s="142"/>
      <c r="B22" s="143"/>
      <c r="C22" s="143"/>
      <c r="D22" s="149"/>
      <c r="E22" s="226"/>
      <c r="F22" s="146"/>
      <c r="G22" s="144"/>
      <c r="H22" s="143"/>
      <c r="I22" s="143"/>
      <c r="L22" s="128"/>
    </row>
    <row r="23" spans="1:12" s="145" customFormat="1" ht="18" x14ac:dyDescent="0.35">
      <c r="A23" s="142"/>
      <c r="B23" s="143"/>
      <c r="C23" s="143"/>
      <c r="D23" s="149"/>
      <c r="F23" s="146"/>
      <c r="G23" s="144"/>
      <c r="H23" s="143"/>
      <c r="I23" s="143"/>
      <c r="L23" s="128"/>
    </row>
    <row r="24" spans="1:12" s="145" customFormat="1" ht="18" x14ac:dyDescent="0.35">
      <c r="A24" s="142"/>
      <c r="B24" s="143"/>
      <c r="C24" s="143"/>
      <c r="D24" s="149"/>
      <c r="E24" s="226"/>
      <c r="F24" s="146"/>
      <c r="G24" s="144"/>
      <c r="H24" s="143"/>
      <c r="I24" s="143"/>
      <c r="L24" s="128"/>
    </row>
    <row r="25" spans="1:12" s="145" customFormat="1" ht="18" x14ac:dyDescent="0.35">
      <c r="A25" s="142"/>
      <c r="B25" s="143"/>
      <c r="C25" s="143"/>
      <c r="D25" s="149"/>
      <c r="E25" s="226"/>
      <c r="F25" s="146"/>
      <c r="G25" s="144"/>
      <c r="H25" s="143"/>
      <c r="I25" s="143"/>
      <c r="L25" s="128"/>
    </row>
    <row r="26" spans="1:12" s="145" customFormat="1" ht="18" x14ac:dyDescent="0.35">
      <c r="A26" s="142"/>
      <c r="B26" s="143"/>
      <c r="C26" s="143"/>
      <c r="D26" s="146"/>
      <c r="E26" s="149"/>
      <c r="F26" s="146"/>
      <c r="G26" s="144"/>
      <c r="H26" s="143"/>
      <c r="I26" s="143"/>
      <c r="L26" s="128"/>
    </row>
    <row r="27" spans="1:12" s="145" customFormat="1" ht="18" x14ac:dyDescent="0.35">
      <c r="A27" s="152" t="s">
        <v>137</v>
      </c>
      <c r="B27" s="153" t="s">
        <v>181</v>
      </c>
      <c r="D27" s="146"/>
      <c r="E27" s="146"/>
      <c r="F27" s="146"/>
      <c r="G27" s="144"/>
      <c r="H27" s="143"/>
      <c r="I27" s="143"/>
      <c r="L27" s="128"/>
    </row>
    <row r="28" spans="1:12" s="145" customFormat="1" ht="18" x14ac:dyDescent="0.35">
      <c r="A28" s="152" t="s">
        <v>142</v>
      </c>
      <c r="B28" s="153" t="str">
        <f ca="1">CONCATENATE(H19, I19, J19)</f>
        <v>FT TRADING / 0</v>
      </c>
      <c r="D28" s="146"/>
      <c r="E28" s="146"/>
      <c r="F28" s="146"/>
      <c r="G28" s="144"/>
      <c r="H28" s="143"/>
      <c r="I28" s="143"/>
      <c r="L28" s="128"/>
    </row>
    <row r="29" spans="1:12" s="145" customFormat="1" ht="18" x14ac:dyDescent="0.35">
      <c r="A29" s="152"/>
      <c r="B29" s="153"/>
      <c r="D29" s="146"/>
      <c r="E29" s="146"/>
      <c r="F29" s="146"/>
      <c r="G29" s="144"/>
      <c r="H29" s="143"/>
      <c r="I29" s="143"/>
      <c r="L29" s="128"/>
    </row>
    <row r="30" spans="1:12" s="145" customFormat="1" x14ac:dyDescent="0.35">
      <c r="A30" s="142"/>
      <c r="D30" s="144"/>
      <c r="E30" s="144"/>
      <c r="F30" s="144"/>
      <c r="G30" s="144"/>
      <c r="H30" s="143"/>
      <c r="I30" s="143"/>
      <c r="L30" s="128"/>
    </row>
    <row r="31" spans="1:12" s="145" customFormat="1" ht="21" x14ac:dyDescent="0.35">
      <c r="A31" s="142"/>
      <c r="B31" s="236" t="s">
        <v>151</v>
      </c>
      <c r="C31" s="151"/>
      <c r="D31" s="144"/>
      <c r="E31" s="144"/>
      <c r="F31" s="144"/>
      <c r="G31" s="144"/>
      <c r="H31" s="143"/>
      <c r="I31" s="143"/>
    </row>
    <row r="32" spans="1:12" s="145" customFormat="1" x14ac:dyDescent="0.35">
      <c r="A32" s="142"/>
      <c r="B32" s="143"/>
      <c r="C32" s="143"/>
      <c r="D32" s="144"/>
      <c r="E32" s="144"/>
      <c r="F32" s="144"/>
      <c r="G32" s="144"/>
      <c r="H32" s="143"/>
      <c r="I32" s="143"/>
    </row>
    <row r="33" spans="1:16" s="145" customFormat="1" ht="18" x14ac:dyDescent="0.45">
      <c r="A33" s="142"/>
      <c r="B33" s="237" t="s">
        <v>155</v>
      </c>
      <c r="C33" s="259"/>
      <c r="D33" s="260"/>
      <c r="F33" s="144"/>
      <c r="G33" s="144"/>
      <c r="H33" s="143"/>
      <c r="I33" s="143"/>
    </row>
    <row r="34" spans="1:16" s="145" customFormat="1" ht="20.25" x14ac:dyDescent="0.35">
      <c r="A34" s="142"/>
      <c r="B34" s="237" t="s">
        <v>156</v>
      </c>
      <c r="C34" s="143"/>
      <c r="D34" s="238">
        <f ca="1">F36+F37+F38</f>
        <v>0</v>
      </c>
      <c r="E34" s="147" t="s">
        <v>157</v>
      </c>
      <c r="F34" s="144"/>
      <c r="G34" s="144"/>
      <c r="H34" s="143"/>
      <c r="I34" s="143"/>
    </row>
    <row r="35" spans="1:16" s="145" customFormat="1" ht="16.5" customHeight="1" x14ac:dyDescent="0.35">
      <c r="A35" s="142"/>
      <c r="G35" s="144"/>
      <c r="H35" s="143"/>
      <c r="I35" s="143"/>
    </row>
    <row r="36" spans="1:16" s="145" customFormat="1" ht="18" x14ac:dyDescent="0.35">
      <c r="A36" s="142"/>
      <c r="B36" s="239" t="s">
        <v>158</v>
      </c>
      <c r="C36" s="240"/>
      <c r="D36" s="241"/>
      <c r="E36" s="241"/>
      <c r="F36" s="242">
        <f ca="1">INDIRECT(CONCATENATE(L44,K43))</f>
        <v>0</v>
      </c>
      <c r="G36" s="144"/>
      <c r="H36" s="143"/>
      <c r="I36" s="143"/>
    </row>
    <row r="37" spans="1:16" s="145" customFormat="1" ht="54.75" customHeight="1" x14ac:dyDescent="0.35">
      <c r="B37" s="401" t="s">
        <v>196</v>
      </c>
      <c r="C37" s="402"/>
      <c r="D37" s="402"/>
      <c r="E37" s="403"/>
      <c r="F37" s="242">
        <f ca="1">INDIRECT(CONCATENATE(M44,K43))</f>
        <v>0</v>
      </c>
      <c r="G37" s="144"/>
      <c r="H37" s="143"/>
      <c r="I37" s="143"/>
    </row>
    <row r="38" spans="1:16" s="145" customFormat="1" ht="69" customHeight="1" x14ac:dyDescent="0.35">
      <c r="B38" s="401" t="s">
        <v>195</v>
      </c>
      <c r="C38" s="402"/>
      <c r="D38" s="402"/>
      <c r="E38" s="403"/>
      <c r="F38" s="242">
        <f ca="1">INDIRECT(CONCATENATE(N44,K43))</f>
        <v>0</v>
      </c>
      <c r="G38" s="144"/>
      <c r="H38" s="143"/>
      <c r="I38" s="143"/>
    </row>
    <row r="39" spans="1:16" s="145" customFormat="1" x14ac:dyDescent="0.35">
      <c r="G39" s="144"/>
      <c r="H39" s="143"/>
      <c r="I39" s="143"/>
    </row>
    <row r="40" spans="1:16" s="145" customFormat="1" ht="18" x14ac:dyDescent="0.35">
      <c r="A40" s="152"/>
      <c r="B40" s="404" t="s">
        <v>182</v>
      </c>
      <c r="C40" s="404"/>
      <c r="D40" s="404"/>
      <c r="E40" s="404"/>
      <c r="F40" s="404"/>
      <c r="G40" s="144"/>
      <c r="H40" s="143"/>
      <c r="I40" s="143"/>
      <c r="K40" s="145" t="s">
        <v>159</v>
      </c>
    </row>
    <row r="41" spans="1:16" s="145" customFormat="1" ht="20.25" customHeight="1" x14ac:dyDescent="0.35">
      <c r="B41" s="236" t="s">
        <v>183</v>
      </c>
      <c r="F41" s="243">
        <f ca="1">F36</f>
        <v>0</v>
      </c>
      <c r="G41" s="144"/>
      <c r="H41" s="143"/>
      <c r="I41" s="143"/>
      <c r="K41" s="154" t="s">
        <v>123</v>
      </c>
      <c r="L41" s="154" t="s">
        <v>124</v>
      </c>
      <c r="M41" s="145" t="s">
        <v>161</v>
      </c>
      <c r="N41" s="145" t="s">
        <v>162</v>
      </c>
      <c r="O41" s="145" t="s">
        <v>163</v>
      </c>
    </row>
    <row r="42" spans="1:16" s="145" customFormat="1" ht="23.25" customHeight="1" x14ac:dyDescent="0.35">
      <c r="A42" s="152"/>
      <c r="B42" s="244"/>
      <c r="C42" s="244"/>
      <c r="D42" s="244"/>
      <c r="E42" s="244"/>
      <c r="F42" s="245"/>
      <c r="G42" s="144"/>
      <c r="H42" s="143"/>
      <c r="I42" s="143"/>
      <c r="K42" s="154" t="str">
        <f>RIGHT(B27,6)</f>
        <v>015899</v>
      </c>
      <c r="L42" s="154"/>
      <c r="P42" s="155"/>
    </row>
    <row r="43" spans="1:16" s="145" customFormat="1" ht="22.5" customHeight="1" x14ac:dyDescent="0.35">
      <c r="A43" s="156"/>
      <c r="B43" s="237" t="s">
        <v>184</v>
      </c>
      <c r="G43" s="144"/>
      <c r="H43" s="143"/>
      <c r="I43" s="143"/>
      <c r="K43" s="154">
        <f>LEFT(K42,4)+16</f>
        <v>174</v>
      </c>
      <c r="L43" s="154"/>
    </row>
    <row r="44" spans="1:16" s="145" customFormat="1" ht="23.25" customHeight="1" x14ac:dyDescent="0.35">
      <c r="A44" s="131"/>
      <c r="B44" s="261" t="s">
        <v>185</v>
      </c>
      <c r="C44" s="244"/>
      <c r="D44" s="244"/>
      <c r="E44" s="244"/>
      <c r="F44" s="243">
        <f ca="1">F36+F37+F38</f>
        <v>0</v>
      </c>
      <c r="G44" s="131"/>
      <c r="H44" s="143"/>
      <c r="I44" s="143"/>
      <c r="K44" s="157" t="s">
        <v>125</v>
      </c>
      <c r="L44" s="157" t="s">
        <v>126</v>
      </c>
      <c r="M44" s="157" t="s">
        <v>165</v>
      </c>
      <c r="N44" s="157" t="s">
        <v>166</v>
      </c>
      <c r="O44" s="157" t="s">
        <v>167</v>
      </c>
    </row>
    <row r="45" spans="1:16" s="145" customFormat="1" ht="24.75" customHeight="1" x14ac:dyDescent="0.35">
      <c r="A45" s="128"/>
      <c r="G45" s="143"/>
      <c r="H45" s="143"/>
      <c r="L45" s="154" t="s">
        <v>127</v>
      </c>
    </row>
    <row r="46" spans="1:16" s="145" customFormat="1" ht="19.5" customHeight="1" x14ac:dyDescent="0.35">
      <c r="A46" s="128"/>
      <c r="B46" s="399" t="s">
        <v>164</v>
      </c>
      <c r="C46" s="399"/>
      <c r="D46" s="399"/>
      <c r="E46" s="399"/>
      <c r="F46" s="399"/>
      <c r="G46" s="143"/>
      <c r="H46" s="143"/>
    </row>
    <row r="47" spans="1:16" s="145" customFormat="1" ht="24" customHeight="1" x14ac:dyDescent="0.35">
      <c r="A47" s="141"/>
      <c r="B47" s="399"/>
      <c r="C47" s="399"/>
      <c r="D47" s="399"/>
      <c r="E47" s="399"/>
      <c r="F47" s="399"/>
      <c r="G47" s="143"/>
      <c r="H47" s="143"/>
    </row>
    <row r="48" spans="1:16" ht="15" customHeight="1" x14ac:dyDescent="0.45">
      <c r="A48" s="128"/>
      <c r="B48" s="399"/>
      <c r="C48" s="399"/>
      <c r="D48" s="399"/>
      <c r="E48" s="399"/>
      <c r="F48" s="399"/>
    </row>
    <row r="49" spans="1:7" x14ac:dyDescent="0.45">
      <c r="A49" s="128"/>
      <c r="B49" s="128"/>
      <c r="C49" s="128"/>
      <c r="G49" s="159"/>
    </row>
    <row r="50" spans="1:7" ht="18" x14ac:dyDescent="0.45">
      <c r="A50" s="140"/>
      <c r="B50" s="237" t="s">
        <v>169</v>
      </c>
      <c r="C50" s="128"/>
      <c r="G50" s="159"/>
    </row>
    <row r="51" spans="1:7" ht="15" x14ac:dyDescent="0.45">
      <c r="A51" s="140"/>
      <c r="C51" s="128"/>
      <c r="G51" s="159"/>
    </row>
    <row r="52" spans="1:7" ht="18.399999999999999" thickBot="1" x14ac:dyDescent="0.6">
      <c r="A52" s="255"/>
      <c r="B52" s="249"/>
      <c r="C52" s="246" t="s">
        <v>170</v>
      </c>
      <c r="D52" s="246"/>
      <c r="G52" s="159"/>
    </row>
    <row r="53" spans="1:7" ht="18" x14ac:dyDescent="0.55000000000000004">
      <c r="A53" s="140"/>
      <c r="C53" s="128"/>
      <c r="D53" s="335" t="s">
        <v>171</v>
      </c>
      <c r="E53" s="247"/>
      <c r="F53" s="248"/>
      <c r="G53" s="159"/>
    </row>
    <row r="54" spans="1:7" ht="18" x14ac:dyDescent="0.55000000000000004">
      <c r="A54" s="140"/>
      <c r="C54" s="201"/>
      <c r="D54" s="336"/>
      <c r="E54" s="249"/>
      <c r="F54" s="250"/>
      <c r="G54" s="159"/>
    </row>
    <row r="55" spans="1:7" ht="18" x14ac:dyDescent="0.55000000000000004">
      <c r="A55" s="251" t="s">
        <v>192</v>
      </c>
      <c r="B55" s="249"/>
      <c r="D55" s="337" t="s">
        <v>137</v>
      </c>
      <c r="E55" s="236" t="str">
        <f>B27</f>
        <v>940012/015899</v>
      </c>
      <c r="F55" s="250"/>
      <c r="G55" s="159"/>
    </row>
    <row r="56" spans="1:7" ht="18" x14ac:dyDescent="0.55000000000000004">
      <c r="A56" s="251" t="s">
        <v>193</v>
      </c>
      <c r="B56" s="249"/>
      <c r="C56" s="128"/>
      <c r="D56" s="337" t="s">
        <v>142</v>
      </c>
      <c r="E56" s="236" t="str">
        <f ca="1">B28</f>
        <v>FT TRADING / 0</v>
      </c>
      <c r="F56" s="250"/>
      <c r="G56" s="159"/>
    </row>
    <row r="57" spans="1:7" ht="18" x14ac:dyDescent="0.55000000000000004">
      <c r="A57" s="128"/>
      <c r="B57" s="128"/>
      <c r="C57" s="128"/>
      <c r="D57" s="336" t="s">
        <v>190</v>
      </c>
      <c r="E57" s="249" t="s">
        <v>191</v>
      </c>
      <c r="F57" s="250"/>
      <c r="G57" s="159"/>
    </row>
    <row r="58" spans="1:7" ht="18" x14ac:dyDescent="0.55000000000000004">
      <c r="A58" s="138"/>
      <c r="B58" s="128"/>
      <c r="C58" s="128"/>
      <c r="D58" s="336" t="s">
        <v>172</v>
      </c>
      <c r="E58" s="252"/>
      <c r="F58" s="250"/>
      <c r="G58" s="159"/>
    </row>
    <row r="59" spans="1:7" ht="18" x14ac:dyDescent="0.55000000000000004">
      <c r="A59" s="128"/>
      <c r="B59" s="128"/>
      <c r="C59" s="128"/>
      <c r="D59" s="336" t="s">
        <v>173</v>
      </c>
      <c r="E59" s="252"/>
      <c r="F59" s="250"/>
      <c r="G59" s="159"/>
    </row>
    <row r="60" spans="1:7" ht="18" x14ac:dyDescent="0.55000000000000004">
      <c r="A60" s="128"/>
      <c r="C60" s="128"/>
      <c r="D60" s="336" t="s">
        <v>174</v>
      </c>
      <c r="E60" s="252"/>
      <c r="F60" s="250"/>
      <c r="G60" s="159"/>
    </row>
    <row r="61" spans="1:7" ht="18.399999999999999" thickBot="1" x14ac:dyDescent="0.6">
      <c r="A61" s="128"/>
      <c r="D61" s="338" t="s">
        <v>175</v>
      </c>
      <c r="E61" s="253"/>
      <c r="F61" s="254"/>
      <c r="G61" s="159"/>
    </row>
    <row r="62" spans="1:7" x14ac:dyDescent="0.45">
      <c r="D62" s="159"/>
      <c r="E62" s="159"/>
      <c r="F62" s="159"/>
    </row>
  </sheetData>
  <mergeCells count="4">
    <mergeCell ref="B37:E37"/>
    <mergeCell ref="B38:E38"/>
    <mergeCell ref="B40:F40"/>
    <mergeCell ref="B46:F48"/>
  </mergeCells>
  <conditionalFormatting sqref="B37:E38">
    <cfRule type="cellIs" dxfId="0" priority="1" operator="equal">
      <formula>" "</formula>
    </cfRule>
  </conditionalFormatting>
  <pageMargins left="0.43307086614173229" right="0.43307086614173229" top="0" bottom="0.74803149606299213" header="0" footer="0.31496062992125984"/>
  <pageSetup paperSize="9" scale="63" orientation="portrait" r:id="rId1"/>
  <headerFooter>
    <oddHeader xml:space="preserve">&amp;C
&amp;G&amp;R
</oddHeader>
    <oddFooter>&amp;C&amp;G</oddFooter>
  </headerFooter>
  <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0000000}">
          <x14:formula1>
            <xm:f>Créances!$F$17:$F$1000</xm:f>
          </x14:formula1>
          <xm:sqref>B27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4"/>
  <dimension ref="A1:N111"/>
  <sheetViews>
    <sheetView workbookViewId="0">
      <selection activeCell="E10" sqref="E10"/>
    </sheetView>
  </sheetViews>
  <sheetFormatPr baseColWidth="10" defaultRowHeight="12.75" x14ac:dyDescent="0.35"/>
  <cols>
    <col min="1" max="1" customWidth="true" style="6" width="21.265625"/>
    <col min="2" max="2" bestFit="true" customWidth="true" style="6" width="13.73046875"/>
    <col min="3" max="3" customWidth="true" width="14.265625"/>
    <col min="4" max="4" customWidth="true" width="14.73046875"/>
    <col min="5" max="5" bestFit="true" customWidth="true" width="28.59765625"/>
    <col min="6" max="6" bestFit="true" customWidth="true" width="13.73046875"/>
    <col min="7" max="7" customWidth="true" style="11" width="15.73046875"/>
    <col min="8" max="8" bestFit="true" customWidth="true" style="11" width="17.73046875"/>
    <col min="9" max="9" customWidth="true" style="18" width="25.73046875"/>
    <col min="10" max="10" customWidth="true" width="25.73046875"/>
    <col min="11" max="11" customWidth="true" width="19.265625"/>
  </cols>
  <sheetData>
    <row r="1" spans="1:14" x14ac:dyDescent="0.35">
      <c r="A1" s="4"/>
      <c r="B1" s="4"/>
      <c r="C1" s="4"/>
      <c r="D1" s="4"/>
      <c r="E1" s="7"/>
      <c r="F1" s="4"/>
      <c r="G1" s="4"/>
      <c r="H1" s="4"/>
      <c r="I1" s="4"/>
      <c r="J1" s="4"/>
      <c r="K1" s="4"/>
      <c r="L1" s="4"/>
      <c r="M1" s="4"/>
      <c r="N1" s="4"/>
    </row>
    <row r="2" spans="1:14" x14ac:dyDescent="0.35">
      <c r="A2" s="4"/>
      <c r="B2" s="4"/>
      <c r="C2" s="4"/>
      <c r="D2" s="4"/>
      <c r="E2" s="7"/>
      <c r="F2" s="4"/>
      <c r="G2" s="4"/>
      <c r="H2" s="4"/>
      <c r="I2" s="4"/>
      <c r="J2" s="4"/>
      <c r="K2" s="4"/>
      <c r="L2" s="4"/>
      <c r="M2" s="4"/>
      <c r="N2" s="4"/>
    </row>
    <row r="3" spans="1:14" x14ac:dyDescent="0.35">
      <c r="A3" s="4"/>
      <c r="B3" s="4"/>
      <c r="C3" s="4"/>
      <c r="D3" s="4"/>
      <c r="E3" s="7"/>
      <c r="F3" s="4"/>
      <c r="G3" s="4"/>
      <c r="H3" s="4"/>
      <c r="I3" s="4"/>
      <c r="J3" s="4"/>
      <c r="K3" s="4"/>
      <c r="L3" s="4"/>
      <c r="M3" s="4"/>
      <c r="N3" s="4"/>
    </row>
    <row r="4" spans="1:14" x14ac:dyDescent="0.35">
      <c r="A4" s="4"/>
      <c r="B4" s="4"/>
      <c r="C4" s="4"/>
      <c r="D4" s="4"/>
      <c r="E4" s="7"/>
      <c r="F4" s="4"/>
      <c r="G4" s="4"/>
      <c r="H4" s="4"/>
      <c r="I4" s="4"/>
      <c r="J4" s="4"/>
      <c r="K4" s="4"/>
      <c r="L4" s="4"/>
      <c r="M4" s="4"/>
      <c r="N4" s="4"/>
    </row>
    <row r="5" spans="1:14" ht="17.649999999999999" x14ac:dyDescent="0.35">
      <c r="A5" s="48"/>
      <c r="B5" s="48"/>
      <c r="C5" s="48"/>
      <c r="D5" s="48"/>
      <c r="E5" s="96"/>
      <c r="F5" s="48"/>
      <c r="G5" s="55" t="str">
        <f>Créances!H4</f>
        <v>FT TRADING</v>
      </c>
      <c r="H5" s="48"/>
      <c r="I5" s="50"/>
      <c r="J5" s="4"/>
      <c r="K5" s="55"/>
      <c r="L5" s="51"/>
      <c r="M5" s="4"/>
      <c r="N5" s="4"/>
    </row>
    <row r="6" spans="1:14" ht="17.649999999999999" x14ac:dyDescent="0.35">
      <c r="A6" s="48"/>
      <c r="B6" s="48"/>
      <c r="C6" s="48"/>
      <c r="D6" s="48"/>
      <c r="E6" s="96"/>
      <c r="F6" s="48"/>
      <c r="G6" s="55" t="str">
        <f>Créances!H5</f>
        <v>108, Avenue Gallieni</v>
      </c>
      <c r="H6" s="48"/>
      <c r="I6" s="50"/>
      <c r="J6" s="4"/>
      <c r="K6" s="55"/>
      <c r="L6" s="51"/>
      <c r="M6" s="4"/>
      <c r="N6" s="4"/>
    </row>
    <row r="7" spans="1:14" ht="17.649999999999999" x14ac:dyDescent="0.35">
      <c r="A7" s="48"/>
      <c r="B7" s="48"/>
      <c r="C7" s="48"/>
      <c r="D7" s="48"/>
      <c r="E7" s="96"/>
      <c r="F7" s="48"/>
      <c r="G7" s="55" t="str">
        <f>Créances!H6</f>
        <v>93140 BONDY</v>
      </c>
      <c r="H7" s="48"/>
      <c r="I7" s="50"/>
      <c r="J7" s="4"/>
      <c r="K7" s="55"/>
      <c r="L7" s="51"/>
      <c r="M7" s="4"/>
      <c r="N7" s="4"/>
    </row>
    <row r="8" spans="1:14" ht="17.649999999999999" x14ac:dyDescent="0.35">
      <c r="A8" s="48"/>
      <c r="B8" s="48"/>
      <c r="C8" s="48"/>
      <c r="D8" s="48"/>
      <c r="E8" s="96"/>
      <c r="F8" s="48"/>
      <c r="G8" s="55"/>
      <c r="H8" s="48"/>
      <c r="I8" s="50"/>
      <c r="J8" s="4"/>
      <c r="K8" s="55"/>
      <c r="L8" s="51"/>
      <c r="M8" s="4"/>
      <c r="N8" s="4"/>
    </row>
    <row r="9" spans="1:14" ht="17.649999999999999" x14ac:dyDescent="0.35">
      <c r="A9" s="37"/>
      <c r="B9" s="80" t="s">
        <v>23</v>
      </c>
      <c r="C9" s="37" t="s">
        <v>22</v>
      </c>
      <c r="D9" s="91"/>
      <c r="E9" s="96"/>
      <c r="F9" s="48"/>
      <c r="G9" s="55" t="str">
        <f>Créances!H8</f>
        <v>Monsieur Hikmet AVINCA</v>
      </c>
      <c r="H9" s="48"/>
      <c r="I9" s="50"/>
      <c r="J9" s="4"/>
      <c r="K9" s="55"/>
      <c r="L9" s="51"/>
      <c r="M9" s="4"/>
      <c r="N9" s="4"/>
    </row>
    <row r="10" spans="1:14" ht="17.25" x14ac:dyDescent="0.35">
      <c r="A10" s="83" t="s">
        <v>24</v>
      </c>
      <c r="B10" s="81">
        <f>Créances!$B$10</f>
        <v>0</v>
      </c>
      <c r="C10" s="81" t="e">
        <f>LARGE(A14:A1001,1)</f>
        <v>#NUM!</v>
      </c>
      <c r="D10" s="97"/>
      <c r="E10" s="96"/>
      <c r="F10" s="48"/>
      <c r="G10" s="48"/>
      <c r="H10" s="48"/>
      <c r="I10" s="50"/>
      <c r="J10" s="57"/>
      <c r="K10" s="57"/>
      <c r="L10" s="51"/>
      <c r="M10" s="4"/>
      <c r="N10" s="4"/>
    </row>
    <row r="11" spans="1:14" ht="13.15" x14ac:dyDescent="0.35">
      <c r="A11" s="4"/>
      <c r="B11" s="4"/>
      <c r="C11" s="4"/>
      <c r="D11" s="4"/>
      <c r="E11" s="96"/>
      <c r="F11" s="48"/>
      <c r="G11" s="48"/>
      <c r="H11" s="48"/>
      <c r="I11" s="50"/>
      <c r="J11" s="57"/>
      <c r="K11" s="57"/>
      <c r="L11" s="51"/>
      <c r="M11" s="4"/>
      <c r="N11" s="4"/>
    </row>
    <row r="12" spans="1:14" x14ac:dyDescent="0.35">
      <c r="A12" s="4"/>
      <c r="B12" s="4"/>
      <c r="C12" s="4"/>
      <c r="D12" s="4"/>
      <c r="E12" s="7"/>
      <c r="F12" s="4"/>
      <c r="G12" s="4"/>
      <c r="H12" s="4"/>
      <c r="I12" s="4"/>
      <c r="J12" s="4"/>
      <c r="K12" s="4"/>
      <c r="L12" s="4"/>
      <c r="M12" s="4"/>
      <c r="N12" s="4"/>
    </row>
    <row r="13" spans="1:14" ht="51" x14ac:dyDescent="0.35">
      <c r="A13" s="98" t="s">
        <v>49</v>
      </c>
      <c r="B13" s="98" t="s">
        <v>57</v>
      </c>
      <c r="C13" s="39" t="s">
        <v>58</v>
      </c>
      <c r="D13" s="99" t="s">
        <v>189</v>
      </c>
      <c r="E13" s="17" t="s">
        <v>2</v>
      </c>
      <c r="F13" s="17" t="s">
        <v>59</v>
      </c>
      <c r="G13" s="99" t="s">
        <v>60</v>
      </c>
      <c r="H13" s="17" t="s">
        <v>4</v>
      </c>
      <c r="I13" s="17" t="s">
        <v>61</v>
      </c>
      <c r="J13" s="17" t="s">
        <v>62</v>
      </c>
      <c r="K13" s="17" t="s">
        <v>63</v>
      </c>
      <c r="L13" s="17" t="s">
        <v>64</v>
      </c>
      <c r="M13" s="17" t="s">
        <v>65</v>
      </c>
      <c r="N13" s="4"/>
    </row>
    <row r="14" spans="1:14" x14ac:dyDescent="0.35">
      <c r="A14" s="17"/>
      <c r="B14" s="37"/>
      <c r="C14" s="17"/>
      <c r="D14" s="17"/>
      <c r="E14" s="100"/>
      <c r="F14" s="101"/>
      <c r="G14" s="37" t="str">
        <f>IF(B14="","",WORKDAY(B14,8,1))</f>
        <v/>
      </c>
      <c r="H14" s="17"/>
      <c r="I14" s="102"/>
      <c r="J14" s="102"/>
      <c r="K14" s="17"/>
      <c r="L14" s="102"/>
      <c r="M14" s="103">
        <f>F14*(C14/100)</f>
        <v>0</v>
      </c>
      <c r="N14" s="4"/>
    </row>
    <row r="15" spans="1:14" x14ac:dyDescent="0.35">
      <c r="A15" s="17"/>
      <c r="B15" s="37"/>
      <c r="C15" s="17"/>
      <c r="D15" s="17"/>
      <c r="E15" s="100"/>
      <c r="F15" s="101"/>
      <c r="G15" s="37" t="str">
        <f t="shared" ref="G15:G78" si="0">IF(B15="","",WORKDAY(B15,8,1))</f>
        <v/>
      </c>
      <c r="H15" s="98"/>
      <c r="I15" s="102"/>
      <c r="J15" s="102"/>
      <c r="K15" s="17"/>
      <c r="L15" s="102"/>
      <c r="M15" s="103">
        <f t="shared" ref="M15:M78" si="1">F15*(C15/100)</f>
        <v>0</v>
      </c>
      <c r="N15" s="4"/>
    </row>
    <row r="16" spans="1:14" x14ac:dyDescent="0.35">
      <c r="A16" s="17"/>
      <c r="B16" s="37"/>
      <c r="C16" s="17"/>
      <c r="D16" s="17"/>
      <c r="E16" s="104"/>
      <c r="F16" s="101"/>
      <c r="G16" s="37" t="str">
        <f t="shared" si="0"/>
        <v/>
      </c>
      <c r="H16" s="17"/>
      <c r="I16" s="102"/>
      <c r="J16" s="102"/>
      <c r="K16" s="17"/>
      <c r="L16" s="102"/>
      <c r="M16" s="103">
        <f t="shared" si="1"/>
        <v>0</v>
      </c>
      <c r="N16" s="4"/>
    </row>
    <row r="17" spans="1:14" x14ac:dyDescent="0.35">
      <c r="A17" s="17"/>
      <c r="B17" s="37"/>
      <c r="C17" s="17"/>
      <c r="D17" s="17"/>
      <c r="E17" s="102"/>
      <c r="F17" s="101"/>
      <c r="G17" s="37" t="str">
        <f t="shared" si="0"/>
        <v/>
      </c>
      <c r="H17" s="17"/>
      <c r="I17" s="102"/>
      <c r="J17" s="102"/>
      <c r="K17" s="17"/>
      <c r="L17" s="102"/>
      <c r="M17" s="103">
        <f t="shared" si="1"/>
        <v>0</v>
      </c>
      <c r="N17" s="4"/>
    </row>
    <row r="18" spans="1:14" x14ac:dyDescent="0.35">
      <c r="A18" s="17"/>
      <c r="B18" s="37"/>
      <c r="C18" s="17"/>
      <c r="D18" s="17"/>
      <c r="E18" s="105"/>
      <c r="F18" s="101"/>
      <c r="G18" s="37" t="str">
        <f t="shared" si="0"/>
        <v/>
      </c>
      <c r="H18" s="17"/>
      <c r="I18" s="102"/>
      <c r="J18" s="102"/>
      <c r="K18" s="17"/>
      <c r="L18" s="102"/>
      <c r="M18" s="103">
        <f t="shared" si="1"/>
        <v>0</v>
      </c>
      <c r="N18" s="4"/>
    </row>
    <row r="19" spans="1:14" x14ac:dyDescent="0.35">
      <c r="A19" s="17"/>
      <c r="B19" s="37"/>
      <c r="C19" s="17"/>
      <c r="D19" s="17"/>
      <c r="E19" s="102"/>
      <c r="F19" s="101"/>
      <c r="G19" s="37" t="str">
        <f t="shared" si="0"/>
        <v/>
      </c>
      <c r="H19" s="17"/>
      <c r="I19" s="102"/>
      <c r="J19" s="102"/>
      <c r="K19" s="17"/>
      <c r="L19" s="102"/>
      <c r="M19" s="103">
        <f t="shared" si="1"/>
        <v>0</v>
      </c>
      <c r="N19" s="4"/>
    </row>
    <row r="20" spans="1:14" x14ac:dyDescent="0.35">
      <c r="A20" s="17"/>
      <c r="B20" s="37"/>
      <c r="C20" s="17"/>
      <c r="D20" s="17"/>
      <c r="E20" s="102"/>
      <c r="F20" s="101"/>
      <c r="G20" s="37" t="str">
        <f t="shared" si="0"/>
        <v/>
      </c>
      <c r="H20" s="17"/>
      <c r="I20" s="102"/>
      <c r="J20" s="102"/>
      <c r="K20" s="17"/>
      <c r="L20" s="102"/>
      <c r="M20" s="103">
        <f t="shared" si="1"/>
        <v>0</v>
      </c>
      <c r="N20" s="4"/>
    </row>
    <row r="21" spans="1:14" x14ac:dyDescent="0.35">
      <c r="A21" s="17"/>
      <c r="B21" s="37"/>
      <c r="C21" s="17"/>
      <c r="D21" s="17"/>
      <c r="E21" s="104"/>
      <c r="F21" s="101"/>
      <c r="G21" s="37" t="str">
        <f t="shared" si="0"/>
        <v/>
      </c>
      <c r="H21" s="17"/>
      <c r="I21" s="102"/>
      <c r="J21" s="102"/>
      <c r="K21" s="17"/>
      <c r="L21" s="102"/>
      <c r="M21" s="103">
        <f t="shared" si="1"/>
        <v>0</v>
      </c>
      <c r="N21" s="4"/>
    </row>
    <row r="22" spans="1:14" x14ac:dyDescent="0.35">
      <c r="A22" s="17"/>
      <c r="B22" s="37"/>
      <c r="C22" s="17"/>
      <c r="D22" s="17"/>
      <c r="E22" s="104"/>
      <c r="F22" s="101"/>
      <c r="G22" s="37" t="str">
        <f t="shared" si="0"/>
        <v/>
      </c>
      <c r="H22" s="17"/>
      <c r="I22" s="102"/>
      <c r="J22" s="102"/>
      <c r="K22" s="17"/>
      <c r="L22" s="102"/>
      <c r="M22" s="103">
        <f t="shared" si="1"/>
        <v>0</v>
      </c>
      <c r="N22" s="4"/>
    </row>
    <row r="23" spans="1:14" x14ac:dyDescent="0.35">
      <c r="A23" s="17"/>
      <c r="B23" s="37"/>
      <c r="C23" s="17"/>
      <c r="D23" s="17"/>
      <c r="E23" s="104"/>
      <c r="F23" s="101"/>
      <c r="G23" s="37" t="str">
        <f t="shared" si="0"/>
        <v/>
      </c>
      <c r="H23" s="17"/>
      <c r="I23" s="102"/>
      <c r="J23" s="102"/>
      <c r="K23" s="17"/>
      <c r="L23" s="102"/>
      <c r="M23" s="103">
        <f t="shared" si="1"/>
        <v>0</v>
      </c>
      <c r="N23" s="4"/>
    </row>
    <row r="24" spans="1:14" x14ac:dyDescent="0.35">
      <c r="A24" s="17"/>
      <c r="B24" s="37"/>
      <c r="C24" s="17"/>
      <c r="D24" s="17"/>
      <c r="E24" s="106"/>
      <c r="F24" s="101"/>
      <c r="G24" s="37" t="str">
        <f t="shared" si="0"/>
        <v/>
      </c>
      <c r="H24" s="17"/>
      <c r="I24" s="102"/>
      <c r="J24" s="102"/>
      <c r="K24" s="17"/>
      <c r="L24" s="102"/>
      <c r="M24" s="103">
        <f t="shared" si="1"/>
        <v>0</v>
      </c>
      <c r="N24" s="4"/>
    </row>
    <row r="25" spans="1:14" x14ac:dyDescent="0.35">
      <c r="A25" s="17"/>
      <c r="B25" s="37"/>
      <c r="C25" s="17"/>
      <c r="D25" s="17"/>
      <c r="E25" s="104"/>
      <c r="F25" s="101"/>
      <c r="G25" s="37" t="str">
        <f t="shared" si="0"/>
        <v/>
      </c>
      <c r="H25" s="17"/>
      <c r="I25" s="102"/>
      <c r="J25" s="102"/>
      <c r="K25" s="17"/>
      <c r="L25" s="102"/>
      <c r="M25" s="103">
        <f t="shared" si="1"/>
        <v>0</v>
      </c>
      <c r="N25" s="4"/>
    </row>
    <row r="26" spans="1:14" x14ac:dyDescent="0.35">
      <c r="A26" s="17"/>
      <c r="B26" s="37"/>
      <c r="C26" s="17"/>
      <c r="D26" s="17"/>
      <c r="E26" s="102"/>
      <c r="F26" s="101"/>
      <c r="G26" s="37" t="str">
        <f t="shared" si="0"/>
        <v/>
      </c>
      <c r="H26" s="17"/>
      <c r="I26" s="102"/>
      <c r="J26" s="102"/>
      <c r="K26" s="17"/>
      <c r="L26" s="102"/>
      <c r="M26" s="103">
        <f t="shared" si="1"/>
        <v>0</v>
      </c>
      <c r="N26" s="4"/>
    </row>
    <row r="27" spans="1:14" x14ac:dyDescent="0.35">
      <c r="A27" s="17"/>
      <c r="B27" s="37"/>
      <c r="C27" s="17"/>
      <c r="D27" s="17"/>
      <c r="E27" s="102"/>
      <c r="F27" s="101"/>
      <c r="G27" s="37" t="str">
        <f t="shared" si="0"/>
        <v/>
      </c>
      <c r="H27" s="17"/>
      <c r="I27" s="102"/>
      <c r="J27" s="102"/>
      <c r="K27" s="17"/>
      <c r="L27" s="102"/>
      <c r="M27" s="103">
        <f t="shared" si="1"/>
        <v>0</v>
      </c>
      <c r="N27" s="4"/>
    </row>
    <row r="28" spans="1:14" x14ac:dyDescent="0.35">
      <c r="A28" s="17"/>
      <c r="B28" s="37"/>
      <c r="C28" s="17"/>
      <c r="D28" s="17"/>
      <c r="E28" s="102"/>
      <c r="F28" s="101"/>
      <c r="G28" s="37" t="str">
        <f t="shared" si="0"/>
        <v/>
      </c>
      <c r="H28" s="17"/>
      <c r="I28" s="102"/>
      <c r="J28" s="102"/>
      <c r="K28" s="17"/>
      <c r="L28" s="102"/>
      <c r="M28" s="103">
        <f t="shared" si="1"/>
        <v>0</v>
      </c>
      <c r="N28" s="4"/>
    </row>
    <row r="29" spans="1:14" x14ac:dyDescent="0.35">
      <c r="A29" s="17"/>
      <c r="B29" s="37"/>
      <c r="C29" s="17"/>
      <c r="D29" s="17"/>
      <c r="E29" s="102"/>
      <c r="F29" s="101"/>
      <c r="G29" s="37" t="str">
        <f t="shared" si="0"/>
        <v/>
      </c>
      <c r="H29" s="17"/>
      <c r="I29" s="102"/>
      <c r="J29" s="102"/>
      <c r="K29" s="17"/>
      <c r="L29" s="102"/>
      <c r="M29" s="103">
        <f t="shared" si="1"/>
        <v>0</v>
      </c>
      <c r="N29" s="4"/>
    </row>
    <row r="30" spans="1:14" x14ac:dyDescent="0.35">
      <c r="A30" s="17"/>
      <c r="B30" s="37"/>
      <c r="C30" s="17"/>
      <c r="D30" s="17"/>
      <c r="E30" s="102"/>
      <c r="F30" s="101"/>
      <c r="G30" s="37" t="str">
        <f t="shared" si="0"/>
        <v/>
      </c>
      <c r="H30" s="17"/>
      <c r="I30" s="102"/>
      <c r="J30" s="102"/>
      <c r="K30" s="17"/>
      <c r="L30" s="102"/>
      <c r="M30" s="103">
        <f t="shared" si="1"/>
        <v>0</v>
      </c>
      <c r="N30" s="4"/>
    </row>
    <row r="31" spans="1:14" x14ac:dyDescent="0.35">
      <c r="A31" s="17"/>
      <c r="B31" s="37"/>
      <c r="C31" s="17"/>
      <c r="D31" s="17"/>
      <c r="E31" s="102"/>
      <c r="F31" s="101"/>
      <c r="G31" s="37" t="str">
        <f t="shared" si="0"/>
        <v/>
      </c>
      <c r="H31" s="17"/>
      <c r="I31" s="102"/>
      <c r="J31" s="102"/>
      <c r="K31" s="17"/>
      <c r="L31" s="102"/>
      <c r="M31" s="103">
        <f t="shared" si="1"/>
        <v>0</v>
      </c>
      <c r="N31" s="4"/>
    </row>
    <row r="32" spans="1:14" x14ac:dyDescent="0.35">
      <c r="A32" s="17"/>
      <c r="B32" s="37"/>
      <c r="C32" s="17"/>
      <c r="D32" s="17"/>
      <c r="E32" s="102"/>
      <c r="F32" s="107"/>
      <c r="G32" s="37" t="str">
        <f t="shared" si="0"/>
        <v/>
      </c>
      <c r="H32" s="17"/>
      <c r="I32" s="102"/>
      <c r="J32" s="102"/>
      <c r="K32" s="17"/>
      <c r="L32" s="102"/>
      <c r="M32" s="103">
        <f t="shared" si="1"/>
        <v>0</v>
      </c>
      <c r="N32" s="4"/>
    </row>
    <row r="33" spans="1:14" x14ac:dyDescent="0.35">
      <c r="A33" s="17"/>
      <c r="B33" s="37"/>
      <c r="C33" s="17"/>
      <c r="D33" s="17"/>
      <c r="E33" s="102"/>
      <c r="F33" s="107"/>
      <c r="G33" s="37" t="str">
        <f t="shared" si="0"/>
        <v/>
      </c>
      <c r="H33" s="17"/>
      <c r="I33" s="102"/>
      <c r="J33" s="102"/>
      <c r="K33" s="17"/>
      <c r="L33" s="102"/>
      <c r="M33" s="103">
        <f t="shared" si="1"/>
        <v>0</v>
      </c>
      <c r="N33" s="4"/>
    </row>
    <row r="34" spans="1:14" x14ac:dyDescent="0.35">
      <c r="A34" s="17"/>
      <c r="B34" s="17"/>
      <c r="C34" s="17"/>
      <c r="D34" s="17"/>
      <c r="E34" s="102"/>
      <c r="F34" s="108"/>
      <c r="G34" s="37" t="str">
        <f t="shared" si="0"/>
        <v/>
      </c>
      <c r="H34" s="17"/>
      <c r="I34" s="102"/>
      <c r="J34" s="102"/>
      <c r="K34" s="17"/>
      <c r="L34" s="102"/>
      <c r="M34" s="103">
        <f t="shared" si="1"/>
        <v>0</v>
      </c>
      <c r="N34" s="4"/>
    </row>
    <row r="35" spans="1:14" x14ac:dyDescent="0.35">
      <c r="A35" s="17"/>
      <c r="B35" s="17"/>
      <c r="C35" s="17"/>
      <c r="D35" s="17"/>
      <c r="E35" s="102"/>
      <c r="F35" s="108"/>
      <c r="G35" s="37" t="str">
        <f t="shared" si="0"/>
        <v/>
      </c>
      <c r="H35" s="17"/>
      <c r="I35" s="102"/>
      <c r="J35" s="102"/>
      <c r="K35" s="17"/>
      <c r="L35" s="102"/>
      <c r="M35" s="103">
        <f t="shared" si="1"/>
        <v>0</v>
      </c>
      <c r="N35" s="4"/>
    </row>
    <row r="36" spans="1:14" x14ac:dyDescent="0.35">
      <c r="A36" s="17"/>
      <c r="B36" s="17"/>
      <c r="C36" s="17"/>
      <c r="D36" s="17"/>
      <c r="E36" s="102"/>
      <c r="F36" s="108"/>
      <c r="G36" s="37" t="str">
        <f t="shared" si="0"/>
        <v/>
      </c>
      <c r="H36" s="17"/>
      <c r="I36" s="102"/>
      <c r="J36" s="102"/>
      <c r="K36" s="17"/>
      <c r="L36" s="102"/>
      <c r="M36" s="103">
        <f t="shared" si="1"/>
        <v>0</v>
      </c>
      <c r="N36" s="4"/>
    </row>
    <row r="37" spans="1:14" x14ac:dyDescent="0.35">
      <c r="A37" s="17"/>
      <c r="B37" s="17"/>
      <c r="C37" s="17"/>
      <c r="D37" s="17"/>
      <c r="E37" s="102"/>
      <c r="F37" s="108"/>
      <c r="G37" s="37" t="str">
        <f t="shared" si="0"/>
        <v/>
      </c>
      <c r="H37" s="17"/>
      <c r="I37" s="102"/>
      <c r="J37" s="102"/>
      <c r="K37" s="17"/>
      <c r="L37" s="102"/>
      <c r="M37" s="103">
        <f t="shared" si="1"/>
        <v>0</v>
      </c>
      <c r="N37" s="4"/>
    </row>
    <row r="38" spans="1:14" x14ac:dyDescent="0.35">
      <c r="A38" s="17"/>
      <c r="B38" s="17"/>
      <c r="C38" s="17"/>
      <c r="D38" s="17"/>
      <c r="E38" s="102"/>
      <c r="F38" s="108"/>
      <c r="G38" s="37" t="str">
        <f t="shared" si="0"/>
        <v/>
      </c>
      <c r="H38" s="17"/>
      <c r="I38" s="102"/>
      <c r="J38" s="102"/>
      <c r="K38" s="17"/>
      <c r="L38" s="102"/>
      <c r="M38" s="103">
        <f t="shared" si="1"/>
        <v>0</v>
      </c>
      <c r="N38" s="4"/>
    </row>
    <row r="39" spans="1:14" x14ac:dyDescent="0.35">
      <c r="A39" s="17"/>
      <c r="B39" s="17"/>
      <c r="C39" s="17"/>
      <c r="D39" s="17"/>
      <c r="E39" s="102"/>
      <c r="F39" s="108"/>
      <c r="G39" s="37" t="str">
        <f t="shared" si="0"/>
        <v/>
      </c>
      <c r="H39" s="17"/>
      <c r="I39" s="102"/>
      <c r="J39" s="102"/>
      <c r="K39" s="17"/>
      <c r="L39" s="102"/>
      <c r="M39" s="103">
        <f t="shared" si="1"/>
        <v>0</v>
      </c>
      <c r="N39" s="4"/>
    </row>
    <row r="40" spans="1:14" x14ac:dyDescent="0.35">
      <c r="A40" s="17"/>
      <c r="B40" s="17"/>
      <c r="C40" s="17"/>
      <c r="D40" s="17"/>
      <c r="E40" s="102"/>
      <c r="F40" s="108"/>
      <c r="G40" s="37" t="str">
        <f t="shared" si="0"/>
        <v/>
      </c>
      <c r="H40" s="17"/>
      <c r="I40" s="102"/>
      <c r="J40" s="102"/>
      <c r="K40" s="17"/>
      <c r="L40" s="102"/>
      <c r="M40" s="103">
        <f t="shared" si="1"/>
        <v>0</v>
      </c>
      <c r="N40" s="4"/>
    </row>
    <row r="41" spans="1:14" x14ac:dyDescent="0.35">
      <c r="A41" s="17"/>
      <c r="B41" s="17"/>
      <c r="C41" s="17"/>
      <c r="D41" s="17"/>
      <c r="E41" s="102"/>
      <c r="F41" s="108"/>
      <c r="G41" s="37" t="str">
        <f t="shared" si="0"/>
        <v/>
      </c>
      <c r="H41" s="17"/>
      <c r="I41" s="102"/>
      <c r="J41" s="102"/>
      <c r="K41" s="17"/>
      <c r="L41" s="102"/>
      <c r="M41" s="103">
        <f t="shared" si="1"/>
        <v>0</v>
      </c>
      <c r="N41" s="4"/>
    </row>
    <row r="42" spans="1:14" x14ac:dyDescent="0.35">
      <c r="A42" s="17"/>
      <c r="B42" s="17"/>
      <c r="C42" s="17"/>
      <c r="D42" s="17"/>
      <c r="E42" s="102"/>
      <c r="F42" s="108"/>
      <c r="G42" s="37" t="str">
        <f t="shared" si="0"/>
        <v/>
      </c>
      <c r="H42" s="17"/>
      <c r="I42" s="102"/>
      <c r="J42" s="102"/>
      <c r="K42" s="17"/>
      <c r="L42" s="102"/>
      <c r="M42" s="103">
        <f t="shared" si="1"/>
        <v>0</v>
      </c>
      <c r="N42" s="4"/>
    </row>
    <row r="43" spans="1:14" x14ac:dyDescent="0.35">
      <c r="A43" s="17"/>
      <c r="B43" s="17"/>
      <c r="C43" s="17"/>
      <c r="D43" s="17"/>
      <c r="E43" s="102"/>
      <c r="F43" s="108"/>
      <c r="G43" s="37" t="str">
        <f t="shared" si="0"/>
        <v/>
      </c>
      <c r="H43" s="17"/>
      <c r="I43" s="102"/>
      <c r="J43" s="102"/>
      <c r="K43" s="17"/>
      <c r="L43" s="102"/>
      <c r="M43" s="103">
        <f t="shared" si="1"/>
        <v>0</v>
      </c>
      <c r="N43" s="4"/>
    </row>
    <row r="44" spans="1:14" x14ac:dyDescent="0.35">
      <c r="A44" s="17"/>
      <c r="B44" s="17"/>
      <c r="C44" s="17"/>
      <c r="D44" s="17"/>
      <c r="E44" s="102"/>
      <c r="F44" s="108"/>
      <c r="G44" s="37" t="str">
        <f t="shared" si="0"/>
        <v/>
      </c>
      <c r="H44" s="17"/>
      <c r="I44" s="102"/>
      <c r="J44" s="102"/>
      <c r="K44" s="17"/>
      <c r="L44" s="102"/>
      <c r="M44" s="103">
        <f t="shared" si="1"/>
        <v>0</v>
      </c>
      <c r="N44" s="4"/>
    </row>
    <row r="45" spans="1:14" x14ac:dyDescent="0.35">
      <c r="A45" s="17"/>
      <c r="B45" s="17"/>
      <c r="C45" s="17"/>
      <c r="D45" s="17"/>
      <c r="E45" s="102"/>
      <c r="F45" s="108"/>
      <c r="G45" s="37" t="str">
        <f t="shared" si="0"/>
        <v/>
      </c>
      <c r="H45" s="17"/>
      <c r="I45" s="102"/>
      <c r="J45" s="102"/>
      <c r="K45" s="17"/>
      <c r="L45" s="102"/>
      <c r="M45" s="103">
        <f t="shared" si="1"/>
        <v>0</v>
      </c>
      <c r="N45" s="4"/>
    </row>
    <row r="46" spans="1:14" x14ac:dyDescent="0.35">
      <c r="A46" s="17"/>
      <c r="B46" s="17"/>
      <c r="C46" s="17"/>
      <c r="D46" s="17"/>
      <c r="E46" s="102"/>
      <c r="F46" s="108"/>
      <c r="G46" s="37" t="str">
        <f t="shared" si="0"/>
        <v/>
      </c>
      <c r="H46" s="17"/>
      <c r="I46" s="102"/>
      <c r="J46" s="102"/>
      <c r="K46" s="17"/>
      <c r="L46" s="102"/>
      <c r="M46" s="103">
        <f t="shared" si="1"/>
        <v>0</v>
      </c>
      <c r="N46" s="4"/>
    </row>
    <row r="47" spans="1:14" x14ac:dyDescent="0.35">
      <c r="A47" s="17"/>
      <c r="B47" s="17"/>
      <c r="C47" s="17"/>
      <c r="D47" s="17"/>
      <c r="E47" s="102"/>
      <c r="F47" s="108"/>
      <c r="G47" s="37" t="str">
        <f t="shared" si="0"/>
        <v/>
      </c>
      <c r="H47" s="17"/>
      <c r="I47" s="102"/>
      <c r="J47" s="102"/>
      <c r="K47" s="17"/>
      <c r="L47" s="102"/>
      <c r="M47" s="103">
        <f t="shared" si="1"/>
        <v>0</v>
      </c>
      <c r="N47" s="4"/>
    </row>
    <row r="48" spans="1:14" x14ac:dyDescent="0.35">
      <c r="A48" s="17"/>
      <c r="B48" s="17"/>
      <c r="C48" s="17"/>
      <c r="D48" s="17"/>
      <c r="E48" s="102"/>
      <c r="F48" s="108"/>
      <c r="G48" s="37" t="str">
        <f t="shared" si="0"/>
        <v/>
      </c>
      <c r="H48" s="17"/>
      <c r="I48" s="102"/>
      <c r="J48" s="102"/>
      <c r="K48" s="17"/>
      <c r="L48" s="102"/>
      <c r="M48" s="103">
        <f t="shared" si="1"/>
        <v>0</v>
      </c>
      <c r="N48" s="4"/>
    </row>
    <row r="49" spans="1:14" x14ac:dyDescent="0.35">
      <c r="A49" s="17"/>
      <c r="B49" s="17"/>
      <c r="C49" s="17"/>
      <c r="D49" s="17"/>
      <c r="E49" s="17"/>
      <c r="F49" s="108"/>
      <c r="G49" s="37" t="str">
        <f t="shared" si="0"/>
        <v/>
      </c>
      <c r="H49" s="17"/>
      <c r="I49" s="102"/>
      <c r="J49" s="102"/>
      <c r="K49" s="17"/>
      <c r="L49" s="102"/>
      <c r="M49" s="103">
        <f t="shared" si="1"/>
        <v>0</v>
      </c>
      <c r="N49" s="4"/>
    </row>
    <row r="50" spans="1:14" x14ac:dyDescent="0.35">
      <c r="A50" s="17"/>
      <c r="B50" s="17"/>
      <c r="C50" s="17"/>
      <c r="D50" s="17"/>
      <c r="E50" s="17"/>
      <c r="F50" s="108"/>
      <c r="G50" s="37" t="str">
        <f t="shared" si="0"/>
        <v/>
      </c>
      <c r="H50" s="17"/>
      <c r="I50" s="102"/>
      <c r="J50" s="102"/>
      <c r="K50" s="17"/>
      <c r="L50" s="102"/>
      <c r="M50" s="103">
        <f t="shared" si="1"/>
        <v>0</v>
      </c>
      <c r="N50" s="4"/>
    </row>
    <row r="51" spans="1:14" x14ac:dyDescent="0.35">
      <c r="A51" s="17"/>
      <c r="B51" s="17"/>
      <c r="C51" s="17"/>
      <c r="D51" s="17"/>
      <c r="E51" s="17"/>
      <c r="F51" s="108"/>
      <c r="G51" s="37" t="str">
        <f t="shared" si="0"/>
        <v/>
      </c>
      <c r="H51" s="17"/>
      <c r="I51" s="102"/>
      <c r="J51" s="102"/>
      <c r="K51" s="17"/>
      <c r="L51" s="102"/>
      <c r="M51" s="103">
        <f t="shared" si="1"/>
        <v>0</v>
      </c>
      <c r="N51" s="4"/>
    </row>
    <row r="52" spans="1:14" x14ac:dyDescent="0.35">
      <c r="A52" s="17"/>
      <c r="B52" s="17"/>
      <c r="C52" s="17"/>
      <c r="D52" s="17"/>
      <c r="E52" s="17"/>
      <c r="F52" s="108"/>
      <c r="G52" s="37" t="str">
        <f t="shared" si="0"/>
        <v/>
      </c>
      <c r="H52" s="17"/>
      <c r="I52" s="102"/>
      <c r="J52" s="102"/>
      <c r="K52" s="17"/>
      <c r="L52" s="102"/>
      <c r="M52" s="103">
        <f t="shared" si="1"/>
        <v>0</v>
      </c>
      <c r="N52" s="4"/>
    </row>
    <row r="53" spans="1:14" x14ac:dyDescent="0.35">
      <c r="A53" s="17"/>
      <c r="B53" s="17"/>
      <c r="C53" s="17"/>
      <c r="D53" s="17"/>
      <c r="E53" s="17"/>
      <c r="F53" s="108"/>
      <c r="G53" s="37" t="str">
        <f t="shared" si="0"/>
        <v/>
      </c>
      <c r="H53" s="17"/>
      <c r="I53" s="102"/>
      <c r="J53" s="102"/>
      <c r="K53" s="17"/>
      <c r="L53" s="102"/>
      <c r="M53" s="103">
        <f t="shared" si="1"/>
        <v>0</v>
      </c>
      <c r="N53" s="4"/>
    </row>
    <row r="54" spans="1:14" x14ac:dyDescent="0.35">
      <c r="A54" s="17"/>
      <c r="B54" s="17"/>
      <c r="C54" s="17"/>
      <c r="D54" s="17"/>
      <c r="E54" s="17"/>
      <c r="F54" s="108"/>
      <c r="G54" s="37" t="str">
        <f t="shared" si="0"/>
        <v/>
      </c>
      <c r="H54" s="17"/>
      <c r="I54" s="102"/>
      <c r="J54" s="102"/>
      <c r="K54" s="17"/>
      <c r="L54" s="102"/>
      <c r="M54" s="103">
        <f t="shared" si="1"/>
        <v>0</v>
      </c>
      <c r="N54" s="4"/>
    </row>
    <row r="55" spans="1:14" x14ac:dyDescent="0.35">
      <c r="A55" s="17"/>
      <c r="B55" s="17"/>
      <c r="C55" s="17"/>
      <c r="D55" s="17"/>
      <c r="E55" s="17"/>
      <c r="F55" s="108"/>
      <c r="G55" s="37" t="str">
        <f t="shared" si="0"/>
        <v/>
      </c>
      <c r="H55" s="17"/>
      <c r="I55" s="102"/>
      <c r="J55" s="102"/>
      <c r="K55" s="17"/>
      <c r="L55" s="102"/>
      <c r="M55" s="103">
        <f t="shared" si="1"/>
        <v>0</v>
      </c>
      <c r="N55" s="4"/>
    </row>
    <row r="56" spans="1:14" x14ac:dyDescent="0.35">
      <c r="A56" s="17"/>
      <c r="B56" s="17"/>
      <c r="C56" s="17"/>
      <c r="D56" s="17"/>
      <c r="E56" s="17"/>
      <c r="F56" s="108"/>
      <c r="G56" s="37" t="str">
        <f t="shared" si="0"/>
        <v/>
      </c>
      <c r="H56" s="17"/>
      <c r="I56" s="102"/>
      <c r="J56" s="102"/>
      <c r="K56" s="17"/>
      <c r="L56" s="102"/>
      <c r="M56" s="103">
        <f t="shared" si="1"/>
        <v>0</v>
      </c>
      <c r="N56" s="4"/>
    </row>
    <row r="57" spans="1:14" x14ac:dyDescent="0.35">
      <c r="A57" s="17"/>
      <c r="B57" s="17"/>
      <c r="C57" s="17"/>
      <c r="D57" s="17"/>
      <c r="E57" s="17"/>
      <c r="F57" s="108"/>
      <c r="G57" s="37" t="str">
        <f t="shared" si="0"/>
        <v/>
      </c>
      <c r="H57" s="17"/>
      <c r="I57" s="102"/>
      <c r="J57" s="102"/>
      <c r="K57" s="17"/>
      <c r="L57" s="102"/>
      <c r="M57" s="103">
        <f t="shared" si="1"/>
        <v>0</v>
      </c>
      <c r="N57" s="4"/>
    </row>
    <row r="58" spans="1:14" x14ac:dyDescent="0.35">
      <c r="A58" s="17"/>
      <c r="B58" s="17"/>
      <c r="C58" s="17"/>
      <c r="D58" s="17"/>
      <c r="E58" s="17"/>
      <c r="F58" s="108"/>
      <c r="G58" s="37" t="str">
        <f t="shared" si="0"/>
        <v/>
      </c>
      <c r="H58" s="17"/>
      <c r="I58" s="102"/>
      <c r="J58" s="102"/>
      <c r="K58" s="17"/>
      <c r="L58" s="102"/>
      <c r="M58" s="103">
        <f t="shared" si="1"/>
        <v>0</v>
      </c>
      <c r="N58" s="4"/>
    </row>
    <row r="59" spans="1:14" x14ac:dyDescent="0.35">
      <c r="A59" s="17"/>
      <c r="B59" s="17"/>
      <c r="C59" s="17"/>
      <c r="D59" s="17"/>
      <c r="E59" s="17"/>
      <c r="F59" s="108"/>
      <c r="G59" s="37" t="str">
        <f t="shared" si="0"/>
        <v/>
      </c>
      <c r="H59" s="17"/>
      <c r="I59" s="102"/>
      <c r="J59" s="102"/>
      <c r="K59" s="17"/>
      <c r="L59" s="102"/>
      <c r="M59" s="103">
        <f t="shared" si="1"/>
        <v>0</v>
      </c>
      <c r="N59" s="4"/>
    </row>
    <row r="60" spans="1:14" x14ac:dyDescent="0.35">
      <c r="A60" s="17"/>
      <c r="B60" s="17"/>
      <c r="C60" s="17"/>
      <c r="D60" s="17"/>
      <c r="E60" s="17"/>
      <c r="F60" s="108"/>
      <c r="G60" s="37" t="str">
        <f t="shared" si="0"/>
        <v/>
      </c>
      <c r="H60" s="17"/>
      <c r="I60" s="102"/>
      <c r="J60" s="102"/>
      <c r="K60" s="17"/>
      <c r="L60" s="102"/>
      <c r="M60" s="103">
        <f t="shared" si="1"/>
        <v>0</v>
      </c>
      <c r="N60" s="4"/>
    </row>
    <row r="61" spans="1:14" x14ac:dyDescent="0.35">
      <c r="A61" s="17"/>
      <c r="B61" s="17"/>
      <c r="C61" s="17"/>
      <c r="D61" s="17"/>
      <c r="E61" s="17"/>
      <c r="F61" s="108"/>
      <c r="G61" s="37" t="str">
        <f t="shared" si="0"/>
        <v/>
      </c>
      <c r="H61" s="17"/>
      <c r="I61" s="102"/>
      <c r="J61" s="102"/>
      <c r="K61" s="17"/>
      <c r="L61" s="102"/>
      <c r="M61" s="103">
        <f t="shared" si="1"/>
        <v>0</v>
      </c>
      <c r="N61" s="4"/>
    </row>
    <row r="62" spans="1:14" x14ac:dyDescent="0.35">
      <c r="A62" s="17"/>
      <c r="B62" s="17"/>
      <c r="C62" s="17"/>
      <c r="D62" s="17"/>
      <c r="E62" s="17"/>
      <c r="F62" s="108"/>
      <c r="G62" s="37" t="str">
        <f t="shared" si="0"/>
        <v/>
      </c>
      <c r="H62" s="17"/>
      <c r="I62" s="102"/>
      <c r="J62" s="102"/>
      <c r="K62" s="17"/>
      <c r="L62" s="102"/>
      <c r="M62" s="103">
        <f t="shared" si="1"/>
        <v>0</v>
      </c>
      <c r="N62" s="4"/>
    </row>
    <row r="63" spans="1:14" x14ac:dyDescent="0.35">
      <c r="A63" s="17"/>
      <c r="B63" s="17"/>
      <c r="C63" s="17"/>
      <c r="D63" s="17"/>
      <c r="E63" s="17"/>
      <c r="F63" s="108"/>
      <c r="G63" s="37" t="str">
        <f t="shared" si="0"/>
        <v/>
      </c>
      <c r="H63" s="17"/>
      <c r="I63" s="102"/>
      <c r="J63" s="102"/>
      <c r="K63" s="17"/>
      <c r="L63" s="102"/>
      <c r="M63" s="103">
        <f t="shared" si="1"/>
        <v>0</v>
      </c>
      <c r="N63" s="4"/>
    </row>
    <row r="64" spans="1:14" x14ac:dyDescent="0.35">
      <c r="A64" s="17"/>
      <c r="B64" s="17"/>
      <c r="C64" s="17"/>
      <c r="D64" s="17"/>
      <c r="E64" s="17"/>
      <c r="F64" s="108"/>
      <c r="G64" s="37" t="str">
        <f t="shared" si="0"/>
        <v/>
      </c>
      <c r="H64" s="17"/>
      <c r="I64" s="102"/>
      <c r="J64" s="102"/>
      <c r="K64" s="17"/>
      <c r="L64" s="102"/>
      <c r="M64" s="103">
        <f t="shared" si="1"/>
        <v>0</v>
      </c>
      <c r="N64" s="4"/>
    </row>
    <row r="65" spans="1:14" x14ac:dyDescent="0.35">
      <c r="A65" s="17"/>
      <c r="B65" s="17"/>
      <c r="C65" s="17"/>
      <c r="D65" s="17"/>
      <c r="E65" s="17"/>
      <c r="F65" s="108"/>
      <c r="G65" s="37" t="str">
        <f t="shared" si="0"/>
        <v/>
      </c>
      <c r="H65" s="17"/>
      <c r="I65" s="102"/>
      <c r="J65" s="102"/>
      <c r="K65" s="17"/>
      <c r="L65" s="102"/>
      <c r="M65" s="103">
        <f t="shared" si="1"/>
        <v>0</v>
      </c>
      <c r="N65" s="4"/>
    </row>
    <row r="66" spans="1:14" x14ac:dyDescent="0.35">
      <c r="A66" s="17"/>
      <c r="B66" s="17"/>
      <c r="C66" s="17"/>
      <c r="D66" s="17"/>
      <c r="E66" s="17"/>
      <c r="F66" s="108"/>
      <c r="G66" s="37" t="str">
        <f t="shared" si="0"/>
        <v/>
      </c>
      <c r="H66" s="17"/>
      <c r="I66" s="102"/>
      <c r="J66" s="102"/>
      <c r="K66" s="17"/>
      <c r="L66" s="102"/>
      <c r="M66" s="103">
        <f t="shared" si="1"/>
        <v>0</v>
      </c>
      <c r="N66" s="4"/>
    </row>
    <row r="67" spans="1:14" x14ac:dyDescent="0.35">
      <c r="A67" s="17"/>
      <c r="B67" s="17"/>
      <c r="C67" s="17"/>
      <c r="D67" s="17"/>
      <c r="E67" s="17"/>
      <c r="F67" s="108"/>
      <c r="G67" s="37" t="str">
        <f t="shared" si="0"/>
        <v/>
      </c>
      <c r="H67" s="17"/>
      <c r="I67" s="102"/>
      <c r="J67" s="102"/>
      <c r="K67" s="17"/>
      <c r="L67" s="102"/>
      <c r="M67" s="103">
        <f t="shared" si="1"/>
        <v>0</v>
      </c>
      <c r="N67" s="4"/>
    </row>
    <row r="68" spans="1:14" x14ac:dyDescent="0.35">
      <c r="A68" s="17"/>
      <c r="B68" s="17"/>
      <c r="C68" s="17"/>
      <c r="D68" s="17"/>
      <c r="E68" s="17"/>
      <c r="F68" s="108"/>
      <c r="G68" s="37" t="str">
        <f t="shared" si="0"/>
        <v/>
      </c>
      <c r="H68" s="17"/>
      <c r="I68" s="102"/>
      <c r="J68" s="102"/>
      <c r="K68" s="17"/>
      <c r="L68" s="102"/>
      <c r="M68" s="103">
        <f t="shared" si="1"/>
        <v>0</v>
      </c>
      <c r="N68" s="4"/>
    </row>
    <row r="69" spans="1:14" x14ac:dyDescent="0.35">
      <c r="A69" s="17"/>
      <c r="B69" s="17"/>
      <c r="C69" s="17"/>
      <c r="D69" s="17"/>
      <c r="E69" s="17"/>
      <c r="F69" s="108"/>
      <c r="G69" s="37" t="str">
        <f t="shared" si="0"/>
        <v/>
      </c>
      <c r="H69" s="17"/>
      <c r="I69" s="102"/>
      <c r="J69" s="102"/>
      <c r="K69" s="17"/>
      <c r="L69" s="102"/>
      <c r="M69" s="103">
        <f t="shared" si="1"/>
        <v>0</v>
      </c>
      <c r="N69" s="4"/>
    </row>
    <row r="70" spans="1:14" x14ac:dyDescent="0.35">
      <c r="A70" s="17"/>
      <c r="B70" s="17"/>
      <c r="C70" s="17"/>
      <c r="D70" s="17"/>
      <c r="E70" s="17"/>
      <c r="F70" s="108"/>
      <c r="G70" s="37" t="str">
        <f t="shared" si="0"/>
        <v/>
      </c>
      <c r="H70" s="17"/>
      <c r="I70" s="102"/>
      <c r="J70" s="102"/>
      <c r="K70" s="17"/>
      <c r="L70" s="102"/>
      <c r="M70" s="103">
        <f t="shared" si="1"/>
        <v>0</v>
      </c>
      <c r="N70" s="4"/>
    </row>
    <row r="71" spans="1:14" x14ac:dyDescent="0.35">
      <c r="A71" s="17"/>
      <c r="B71" s="17"/>
      <c r="C71" s="17"/>
      <c r="D71" s="17"/>
      <c r="E71" s="17"/>
      <c r="F71" s="108"/>
      <c r="G71" s="37" t="str">
        <f t="shared" si="0"/>
        <v/>
      </c>
      <c r="H71" s="17"/>
      <c r="I71" s="102"/>
      <c r="J71" s="102"/>
      <c r="K71" s="17"/>
      <c r="L71" s="102"/>
      <c r="M71" s="103">
        <f t="shared" si="1"/>
        <v>0</v>
      </c>
      <c r="N71" s="4"/>
    </row>
    <row r="72" spans="1:14" x14ac:dyDescent="0.35">
      <c r="A72" s="17"/>
      <c r="B72" s="17"/>
      <c r="C72" s="17"/>
      <c r="D72" s="17"/>
      <c r="E72" s="17"/>
      <c r="F72" s="108"/>
      <c r="G72" s="37" t="str">
        <f t="shared" si="0"/>
        <v/>
      </c>
      <c r="H72" s="17"/>
      <c r="I72" s="102"/>
      <c r="J72" s="102"/>
      <c r="K72" s="17"/>
      <c r="L72" s="102"/>
      <c r="M72" s="103">
        <f t="shared" si="1"/>
        <v>0</v>
      </c>
      <c r="N72" s="4"/>
    </row>
    <row r="73" spans="1:14" x14ac:dyDescent="0.35">
      <c r="A73" s="17"/>
      <c r="B73" s="17"/>
      <c r="C73" s="17"/>
      <c r="D73" s="17"/>
      <c r="E73" s="17"/>
      <c r="F73" s="108"/>
      <c r="G73" s="37" t="str">
        <f t="shared" si="0"/>
        <v/>
      </c>
      <c r="H73" s="17"/>
      <c r="I73" s="102"/>
      <c r="J73" s="102"/>
      <c r="K73" s="17"/>
      <c r="L73" s="102"/>
      <c r="M73" s="103">
        <f t="shared" si="1"/>
        <v>0</v>
      </c>
      <c r="N73" s="4"/>
    </row>
    <row r="74" spans="1:14" x14ac:dyDescent="0.35">
      <c r="A74" s="17"/>
      <c r="B74" s="17"/>
      <c r="C74" s="17"/>
      <c r="D74" s="17"/>
      <c r="E74" s="17"/>
      <c r="F74" s="108"/>
      <c r="G74" s="37" t="str">
        <f t="shared" si="0"/>
        <v/>
      </c>
      <c r="H74" s="17"/>
      <c r="I74" s="102"/>
      <c r="J74" s="102"/>
      <c r="K74" s="17"/>
      <c r="L74" s="102"/>
      <c r="M74" s="103">
        <f t="shared" si="1"/>
        <v>0</v>
      </c>
      <c r="N74" s="4"/>
    </row>
    <row r="75" spans="1:14" x14ac:dyDescent="0.35">
      <c r="A75" s="17"/>
      <c r="B75" s="17"/>
      <c r="C75" s="17"/>
      <c r="D75" s="17"/>
      <c r="E75" s="17"/>
      <c r="F75" s="108"/>
      <c r="G75" s="37" t="str">
        <f t="shared" si="0"/>
        <v/>
      </c>
      <c r="H75" s="17"/>
      <c r="I75" s="102"/>
      <c r="J75" s="102"/>
      <c r="K75" s="17"/>
      <c r="L75" s="102"/>
      <c r="M75" s="103">
        <f t="shared" si="1"/>
        <v>0</v>
      </c>
      <c r="N75" s="4"/>
    </row>
    <row r="76" spans="1:14" x14ac:dyDescent="0.35">
      <c r="A76" s="17"/>
      <c r="B76" s="17"/>
      <c r="C76" s="17"/>
      <c r="D76" s="17"/>
      <c r="E76" s="17"/>
      <c r="F76" s="108"/>
      <c r="G76" s="37" t="str">
        <f t="shared" si="0"/>
        <v/>
      </c>
      <c r="H76" s="17"/>
      <c r="I76" s="102"/>
      <c r="J76" s="102"/>
      <c r="K76" s="17"/>
      <c r="L76" s="102"/>
      <c r="M76" s="103">
        <f t="shared" si="1"/>
        <v>0</v>
      </c>
      <c r="N76" s="4"/>
    </row>
    <row r="77" spans="1:14" x14ac:dyDescent="0.35">
      <c r="A77" s="17"/>
      <c r="B77" s="17"/>
      <c r="C77" s="17"/>
      <c r="D77" s="17"/>
      <c r="E77" s="17"/>
      <c r="F77" s="108"/>
      <c r="G77" s="37" t="str">
        <f t="shared" si="0"/>
        <v/>
      </c>
      <c r="H77" s="17"/>
      <c r="I77" s="102"/>
      <c r="J77" s="102"/>
      <c r="K77" s="17"/>
      <c r="L77" s="102"/>
      <c r="M77" s="103">
        <f t="shared" si="1"/>
        <v>0</v>
      </c>
      <c r="N77" s="4"/>
    </row>
    <row r="78" spans="1:14" x14ac:dyDescent="0.35">
      <c r="A78" s="17"/>
      <c r="B78" s="17"/>
      <c r="C78" s="17"/>
      <c r="D78" s="17"/>
      <c r="E78" s="17"/>
      <c r="F78" s="108"/>
      <c r="G78" s="37" t="str">
        <f t="shared" si="0"/>
        <v/>
      </c>
      <c r="H78" s="17"/>
      <c r="I78" s="102"/>
      <c r="J78" s="102"/>
      <c r="K78" s="17"/>
      <c r="L78" s="102"/>
      <c r="M78" s="103">
        <f t="shared" si="1"/>
        <v>0</v>
      </c>
      <c r="N78" s="4"/>
    </row>
    <row r="79" spans="1:14" x14ac:dyDescent="0.35">
      <c r="A79" s="17"/>
      <c r="B79" s="17"/>
      <c r="C79" s="17"/>
      <c r="D79" s="17"/>
      <c r="E79" s="17"/>
      <c r="F79" s="108"/>
      <c r="G79" s="37" t="str">
        <f t="shared" ref="G79:G109" si="2">IF(B79="","",WORKDAY(B79,8,1))</f>
        <v/>
      </c>
      <c r="H79" s="17"/>
      <c r="I79" s="102"/>
      <c r="J79" s="102"/>
      <c r="K79" s="17"/>
      <c r="L79" s="102"/>
      <c r="M79" s="103">
        <f t="shared" ref="M79:M109" si="3">F79*(C79/100)</f>
        <v>0</v>
      </c>
      <c r="N79" s="4"/>
    </row>
    <row r="80" spans="1:14" x14ac:dyDescent="0.35">
      <c r="A80" s="17"/>
      <c r="B80" s="17"/>
      <c r="C80" s="17"/>
      <c r="D80" s="17"/>
      <c r="E80" s="17"/>
      <c r="F80" s="108"/>
      <c r="G80" s="37" t="str">
        <f t="shared" si="2"/>
        <v/>
      </c>
      <c r="H80" s="17"/>
      <c r="I80" s="102"/>
      <c r="J80" s="102"/>
      <c r="K80" s="17"/>
      <c r="L80" s="102"/>
      <c r="M80" s="103">
        <f t="shared" si="3"/>
        <v>0</v>
      </c>
      <c r="N80" s="4"/>
    </row>
    <row r="81" spans="1:14" x14ac:dyDescent="0.35">
      <c r="A81" s="17"/>
      <c r="B81" s="17"/>
      <c r="C81" s="17"/>
      <c r="D81" s="17"/>
      <c r="E81" s="17"/>
      <c r="F81" s="108"/>
      <c r="G81" s="37" t="str">
        <f t="shared" si="2"/>
        <v/>
      </c>
      <c r="H81" s="17"/>
      <c r="I81" s="102"/>
      <c r="J81" s="102"/>
      <c r="K81" s="17"/>
      <c r="L81" s="102"/>
      <c r="M81" s="103">
        <f t="shared" si="3"/>
        <v>0</v>
      </c>
      <c r="N81" s="4"/>
    </row>
    <row r="82" spans="1:14" x14ac:dyDescent="0.35">
      <c r="A82" s="17"/>
      <c r="B82" s="17"/>
      <c r="C82" s="17"/>
      <c r="D82" s="17"/>
      <c r="E82" s="17"/>
      <c r="F82" s="108"/>
      <c r="G82" s="37" t="str">
        <f t="shared" si="2"/>
        <v/>
      </c>
      <c r="H82" s="17"/>
      <c r="I82" s="102"/>
      <c r="J82" s="102"/>
      <c r="K82" s="17"/>
      <c r="L82" s="102"/>
      <c r="M82" s="103">
        <f t="shared" si="3"/>
        <v>0</v>
      </c>
      <c r="N82" s="4"/>
    </row>
    <row r="83" spans="1:14" x14ac:dyDescent="0.35">
      <c r="A83" s="17"/>
      <c r="B83" s="17"/>
      <c r="C83" s="17"/>
      <c r="D83" s="17"/>
      <c r="E83" s="17"/>
      <c r="F83" s="108"/>
      <c r="G83" s="37" t="str">
        <f t="shared" si="2"/>
        <v/>
      </c>
      <c r="H83" s="17"/>
      <c r="I83" s="102"/>
      <c r="J83" s="102"/>
      <c r="K83" s="17"/>
      <c r="L83" s="102"/>
      <c r="M83" s="103">
        <f t="shared" si="3"/>
        <v>0</v>
      </c>
      <c r="N83" s="4"/>
    </row>
    <row r="84" spans="1:14" x14ac:dyDescent="0.35">
      <c r="A84" s="17"/>
      <c r="B84" s="17"/>
      <c r="C84" s="17"/>
      <c r="D84" s="17"/>
      <c r="E84" s="17"/>
      <c r="F84" s="108"/>
      <c r="G84" s="37" t="str">
        <f t="shared" si="2"/>
        <v/>
      </c>
      <c r="H84" s="17"/>
      <c r="I84" s="102"/>
      <c r="J84" s="102"/>
      <c r="K84" s="17"/>
      <c r="L84" s="102"/>
      <c r="M84" s="103">
        <f t="shared" si="3"/>
        <v>0</v>
      </c>
      <c r="N84" s="4"/>
    </row>
    <row r="85" spans="1:14" x14ac:dyDescent="0.35">
      <c r="A85" s="17"/>
      <c r="B85" s="17"/>
      <c r="C85" s="17"/>
      <c r="D85" s="17"/>
      <c r="E85" s="17"/>
      <c r="F85" s="108"/>
      <c r="G85" s="37" t="str">
        <f t="shared" si="2"/>
        <v/>
      </c>
      <c r="H85" s="17"/>
      <c r="I85" s="102"/>
      <c r="J85" s="102"/>
      <c r="K85" s="17"/>
      <c r="L85" s="102"/>
      <c r="M85" s="103">
        <f t="shared" si="3"/>
        <v>0</v>
      </c>
      <c r="N85" s="4"/>
    </row>
    <row r="86" spans="1:14" x14ac:dyDescent="0.35">
      <c r="A86" s="17"/>
      <c r="B86" s="17"/>
      <c r="C86" s="17"/>
      <c r="D86" s="17"/>
      <c r="E86" s="17"/>
      <c r="F86" s="108"/>
      <c r="G86" s="37" t="str">
        <f t="shared" si="2"/>
        <v/>
      </c>
      <c r="H86" s="17"/>
      <c r="I86" s="102"/>
      <c r="J86" s="102"/>
      <c r="K86" s="17"/>
      <c r="L86" s="102"/>
      <c r="M86" s="103">
        <f t="shared" si="3"/>
        <v>0</v>
      </c>
      <c r="N86" s="4"/>
    </row>
    <row r="87" spans="1:14" x14ac:dyDescent="0.35">
      <c r="A87" s="17"/>
      <c r="B87" s="17"/>
      <c r="C87" s="17"/>
      <c r="D87" s="17"/>
      <c r="E87" s="17"/>
      <c r="F87" s="108"/>
      <c r="G87" s="37" t="str">
        <f t="shared" si="2"/>
        <v/>
      </c>
      <c r="H87" s="17"/>
      <c r="I87" s="102"/>
      <c r="J87" s="102"/>
      <c r="K87" s="17"/>
      <c r="L87" s="102"/>
      <c r="M87" s="103">
        <f t="shared" si="3"/>
        <v>0</v>
      </c>
      <c r="N87" s="4"/>
    </row>
    <row r="88" spans="1:14" x14ac:dyDescent="0.35">
      <c r="A88" s="17"/>
      <c r="B88" s="17"/>
      <c r="C88" s="17"/>
      <c r="D88" s="17"/>
      <c r="E88" s="17"/>
      <c r="F88" s="108"/>
      <c r="G88" s="37" t="str">
        <f t="shared" si="2"/>
        <v/>
      </c>
      <c r="H88" s="17"/>
      <c r="I88" s="102"/>
      <c r="J88" s="102"/>
      <c r="K88" s="17"/>
      <c r="L88" s="102"/>
      <c r="M88" s="103">
        <f t="shared" si="3"/>
        <v>0</v>
      </c>
      <c r="N88" s="4"/>
    </row>
    <row r="89" spans="1:14" x14ac:dyDescent="0.35">
      <c r="A89" s="17"/>
      <c r="B89" s="17"/>
      <c r="C89" s="17"/>
      <c r="D89" s="17"/>
      <c r="E89" s="17"/>
      <c r="F89" s="108"/>
      <c r="G89" s="37" t="str">
        <f t="shared" si="2"/>
        <v/>
      </c>
      <c r="H89" s="17"/>
      <c r="I89" s="102"/>
      <c r="J89" s="102"/>
      <c r="K89" s="17"/>
      <c r="L89" s="102"/>
      <c r="M89" s="103">
        <f t="shared" si="3"/>
        <v>0</v>
      </c>
      <c r="N89" s="4"/>
    </row>
    <row r="90" spans="1:14" x14ac:dyDescent="0.35">
      <c r="A90" s="17"/>
      <c r="B90" s="17"/>
      <c r="C90" s="17"/>
      <c r="D90" s="17"/>
      <c r="E90" s="17"/>
      <c r="F90" s="108"/>
      <c r="G90" s="37" t="str">
        <f t="shared" si="2"/>
        <v/>
      </c>
      <c r="H90" s="17"/>
      <c r="I90" s="102"/>
      <c r="J90" s="102"/>
      <c r="K90" s="17"/>
      <c r="L90" s="102"/>
      <c r="M90" s="103">
        <f t="shared" si="3"/>
        <v>0</v>
      </c>
      <c r="N90" s="4"/>
    </row>
    <row r="91" spans="1:14" x14ac:dyDescent="0.35">
      <c r="A91" s="17"/>
      <c r="B91" s="17"/>
      <c r="C91" s="17"/>
      <c r="D91" s="17"/>
      <c r="E91" s="17"/>
      <c r="F91" s="108"/>
      <c r="G91" s="37" t="str">
        <f t="shared" si="2"/>
        <v/>
      </c>
      <c r="H91" s="17"/>
      <c r="I91" s="102"/>
      <c r="J91" s="102"/>
      <c r="K91" s="17"/>
      <c r="L91" s="102"/>
      <c r="M91" s="103">
        <f t="shared" si="3"/>
        <v>0</v>
      </c>
      <c r="N91" s="4"/>
    </row>
    <row r="92" spans="1:14" x14ac:dyDescent="0.35">
      <c r="A92" s="17"/>
      <c r="B92" s="17"/>
      <c r="C92" s="17"/>
      <c r="D92" s="17"/>
      <c r="E92" s="17"/>
      <c r="F92" s="108"/>
      <c r="G92" s="37" t="str">
        <f t="shared" si="2"/>
        <v/>
      </c>
      <c r="H92" s="17"/>
      <c r="I92" s="102"/>
      <c r="J92" s="102"/>
      <c r="K92" s="17"/>
      <c r="L92" s="102"/>
      <c r="M92" s="103">
        <f t="shared" si="3"/>
        <v>0</v>
      </c>
      <c r="N92" s="4"/>
    </row>
    <row r="93" spans="1:14" x14ac:dyDescent="0.35">
      <c r="A93" s="17"/>
      <c r="B93" s="17"/>
      <c r="C93" s="17"/>
      <c r="D93" s="17"/>
      <c r="E93" s="17"/>
      <c r="F93" s="108"/>
      <c r="G93" s="37" t="str">
        <f t="shared" si="2"/>
        <v/>
      </c>
      <c r="H93" s="17"/>
      <c r="I93" s="102"/>
      <c r="J93" s="102"/>
      <c r="K93" s="17"/>
      <c r="L93" s="102"/>
      <c r="M93" s="103">
        <f t="shared" si="3"/>
        <v>0</v>
      </c>
      <c r="N93" s="4"/>
    </row>
    <row r="94" spans="1:14" x14ac:dyDescent="0.35">
      <c r="A94" s="17"/>
      <c r="B94" s="17"/>
      <c r="C94" s="17"/>
      <c r="D94" s="17"/>
      <c r="E94" s="17"/>
      <c r="F94" s="108"/>
      <c r="G94" s="37" t="str">
        <f t="shared" si="2"/>
        <v/>
      </c>
      <c r="H94" s="17"/>
      <c r="I94" s="102"/>
      <c r="J94" s="102"/>
      <c r="K94" s="17"/>
      <c r="L94" s="102"/>
      <c r="M94" s="103">
        <f t="shared" si="3"/>
        <v>0</v>
      </c>
      <c r="N94" s="4"/>
    </row>
    <row r="95" spans="1:14" x14ac:dyDescent="0.35">
      <c r="A95" s="17"/>
      <c r="B95" s="17"/>
      <c r="C95" s="17"/>
      <c r="D95" s="17"/>
      <c r="E95" s="17"/>
      <c r="F95" s="108"/>
      <c r="G95" s="37" t="str">
        <f t="shared" si="2"/>
        <v/>
      </c>
      <c r="H95" s="17"/>
      <c r="I95" s="102"/>
      <c r="J95" s="102"/>
      <c r="K95" s="17"/>
      <c r="L95" s="102"/>
      <c r="M95" s="103">
        <f t="shared" si="3"/>
        <v>0</v>
      </c>
      <c r="N95" s="4"/>
    </row>
    <row r="96" spans="1:14" x14ac:dyDescent="0.35">
      <c r="A96" s="17"/>
      <c r="B96" s="17"/>
      <c r="C96" s="17"/>
      <c r="D96" s="17"/>
      <c r="E96" s="17"/>
      <c r="F96" s="108"/>
      <c r="G96" s="37" t="str">
        <f t="shared" si="2"/>
        <v/>
      </c>
      <c r="H96" s="17"/>
      <c r="I96" s="102"/>
      <c r="J96" s="102"/>
      <c r="K96" s="17"/>
      <c r="L96" s="102"/>
      <c r="M96" s="103">
        <f t="shared" si="3"/>
        <v>0</v>
      </c>
      <c r="N96" s="4"/>
    </row>
    <row r="97" spans="1:14" x14ac:dyDescent="0.35">
      <c r="A97" s="17"/>
      <c r="B97" s="17"/>
      <c r="C97" s="17"/>
      <c r="D97" s="17"/>
      <c r="E97" s="17"/>
      <c r="F97" s="108"/>
      <c r="G97" s="37" t="str">
        <f t="shared" si="2"/>
        <v/>
      </c>
      <c r="H97" s="17"/>
      <c r="I97" s="102"/>
      <c r="J97" s="102"/>
      <c r="K97" s="17"/>
      <c r="L97" s="102"/>
      <c r="M97" s="103">
        <f t="shared" si="3"/>
        <v>0</v>
      </c>
      <c r="N97" s="4"/>
    </row>
    <row r="98" spans="1:14" x14ac:dyDescent="0.35">
      <c r="A98" s="17"/>
      <c r="B98" s="17"/>
      <c r="C98" s="17"/>
      <c r="D98" s="17"/>
      <c r="E98" s="17"/>
      <c r="F98" s="108"/>
      <c r="G98" s="37" t="str">
        <f t="shared" si="2"/>
        <v/>
      </c>
      <c r="H98" s="17"/>
      <c r="I98" s="102"/>
      <c r="J98" s="102"/>
      <c r="K98" s="17"/>
      <c r="L98" s="102"/>
      <c r="M98" s="103">
        <f t="shared" si="3"/>
        <v>0</v>
      </c>
      <c r="N98" s="4"/>
    </row>
    <row r="99" spans="1:14" x14ac:dyDescent="0.35">
      <c r="A99" s="17"/>
      <c r="B99" s="17"/>
      <c r="C99" s="17"/>
      <c r="D99" s="17"/>
      <c r="E99" s="17"/>
      <c r="F99" s="108"/>
      <c r="G99" s="37" t="str">
        <f t="shared" si="2"/>
        <v/>
      </c>
      <c r="H99" s="17"/>
      <c r="I99" s="102"/>
      <c r="J99" s="102"/>
      <c r="K99" s="17"/>
      <c r="L99" s="102"/>
      <c r="M99" s="103">
        <f t="shared" si="3"/>
        <v>0</v>
      </c>
      <c r="N99" s="4"/>
    </row>
    <row r="100" spans="1:14" x14ac:dyDescent="0.35">
      <c r="A100" s="17"/>
      <c r="B100" s="17"/>
      <c r="C100" s="17"/>
      <c r="D100" s="17"/>
      <c r="E100" s="17"/>
      <c r="F100" s="108"/>
      <c r="G100" s="37" t="str">
        <f t="shared" si="2"/>
        <v/>
      </c>
      <c r="H100" s="17"/>
      <c r="I100" s="102"/>
      <c r="J100" s="102"/>
      <c r="K100" s="17"/>
      <c r="L100" s="102"/>
      <c r="M100" s="103">
        <f t="shared" si="3"/>
        <v>0</v>
      </c>
      <c r="N100" s="4"/>
    </row>
    <row r="101" spans="1:14" x14ac:dyDescent="0.35">
      <c r="A101" s="17"/>
      <c r="B101" s="17"/>
      <c r="C101" s="17"/>
      <c r="D101" s="17"/>
      <c r="E101" s="17"/>
      <c r="F101" s="108"/>
      <c r="G101" s="37" t="str">
        <f t="shared" si="2"/>
        <v/>
      </c>
      <c r="H101" s="17"/>
      <c r="I101" s="102"/>
      <c r="J101" s="102"/>
      <c r="K101" s="17"/>
      <c r="L101" s="102"/>
      <c r="M101" s="103">
        <f t="shared" si="3"/>
        <v>0</v>
      </c>
      <c r="N101" s="4"/>
    </row>
    <row r="102" spans="1:14" x14ac:dyDescent="0.35">
      <c r="A102" s="17"/>
      <c r="B102" s="17"/>
      <c r="C102" s="17"/>
      <c r="D102" s="17"/>
      <c r="E102" s="17"/>
      <c r="F102" s="108"/>
      <c r="G102" s="37" t="str">
        <f t="shared" si="2"/>
        <v/>
      </c>
      <c r="H102" s="17"/>
      <c r="I102" s="102"/>
      <c r="J102" s="102"/>
      <c r="K102" s="17"/>
      <c r="L102" s="102"/>
      <c r="M102" s="103">
        <f t="shared" si="3"/>
        <v>0</v>
      </c>
      <c r="N102" s="4"/>
    </row>
    <row r="103" spans="1:14" x14ac:dyDescent="0.35">
      <c r="A103" s="17"/>
      <c r="B103" s="17"/>
      <c r="C103" s="17"/>
      <c r="D103" s="17"/>
      <c r="E103" s="17"/>
      <c r="F103" s="108"/>
      <c r="G103" s="37" t="str">
        <f t="shared" si="2"/>
        <v/>
      </c>
      <c r="H103" s="17"/>
      <c r="I103" s="102"/>
      <c r="J103" s="102"/>
      <c r="K103" s="17"/>
      <c r="L103" s="102"/>
      <c r="M103" s="103">
        <f t="shared" si="3"/>
        <v>0</v>
      </c>
      <c r="N103" s="4"/>
    </row>
    <row r="104" spans="1:14" x14ac:dyDescent="0.35">
      <c r="A104" s="17"/>
      <c r="B104" s="17"/>
      <c r="C104" s="17"/>
      <c r="D104" s="17"/>
      <c r="E104" s="17"/>
      <c r="F104" s="108"/>
      <c r="G104" s="37" t="str">
        <f t="shared" si="2"/>
        <v/>
      </c>
      <c r="H104" s="17"/>
      <c r="I104" s="102"/>
      <c r="J104" s="102"/>
      <c r="K104" s="17"/>
      <c r="L104" s="102"/>
      <c r="M104" s="103">
        <f t="shared" si="3"/>
        <v>0</v>
      </c>
      <c r="N104" s="4"/>
    </row>
    <row r="105" spans="1:14" x14ac:dyDescent="0.35">
      <c r="A105" s="17"/>
      <c r="B105" s="17"/>
      <c r="C105" s="17"/>
      <c r="D105" s="17"/>
      <c r="E105" s="17"/>
      <c r="F105" s="108"/>
      <c r="G105" s="37" t="str">
        <f t="shared" si="2"/>
        <v/>
      </c>
      <c r="H105" s="17"/>
      <c r="I105" s="102"/>
      <c r="J105" s="102"/>
      <c r="K105" s="17"/>
      <c r="L105" s="102"/>
      <c r="M105" s="103">
        <f t="shared" si="3"/>
        <v>0</v>
      </c>
      <c r="N105" s="4"/>
    </row>
    <row r="106" spans="1:14" x14ac:dyDescent="0.35">
      <c r="A106" s="17"/>
      <c r="B106" s="17"/>
      <c r="C106" s="17"/>
      <c r="D106" s="17"/>
      <c r="E106" s="17"/>
      <c r="F106" s="108"/>
      <c r="G106" s="37" t="str">
        <f t="shared" si="2"/>
        <v/>
      </c>
      <c r="H106" s="17"/>
      <c r="I106" s="102"/>
      <c r="J106" s="102"/>
      <c r="K106" s="17"/>
      <c r="L106" s="102"/>
      <c r="M106" s="103">
        <f t="shared" si="3"/>
        <v>0</v>
      </c>
      <c r="N106" s="4"/>
    </row>
    <row r="107" spans="1:14" x14ac:dyDescent="0.35">
      <c r="A107" s="17"/>
      <c r="B107" s="17"/>
      <c r="C107" s="17"/>
      <c r="D107" s="17"/>
      <c r="E107" s="17"/>
      <c r="F107" s="108"/>
      <c r="G107" s="37" t="str">
        <f t="shared" si="2"/>
        <v/>
      </c>
      <c r="H107" s="17"/>
      <c r="I107" s="102"/>
      <c r="J107" s="102"/>
      <c r="K107" s="17"/>
      <c r="L107" s="102"/>
      <c r="M107" s="103">
        <f t="shared" si="3"/>
        <v>0</v>
      </c>
      <c r="N107" s="4"/>
    </row>
    <row r="108" spans="1:14" x14ac:dyDescent="0.35">
      <c r="A108" s="17"/>
      <c r="B108" s="17"/>
      <c r="C108" s="17"/>
      <c r="D108" s="17"/>
      <c r="E108" s="17"/>
      <c r="F108" s="108"/>
      <c r="G108" s="37" t="str">
        <f t="shared" si="2"/>
        <v/>
      </c>
      <c r="H108" s="17"/>
      <c r="I108" s="102"/>
      <c r="J108" s="102"/>
      <c r="K108" s="17"/>
      <c r="L108" s="102"/>
      <c r="M108" s="103">
        <f t="shared" si="3"/>
        <v>0</v>
      </c>
      <c r="N108" s="4"/>
    </row>
    <row r="109" spans="1:14" x14ac:dyDescent="0.35">
      <c r="A109" s="17"/>
      <c r="B109" s="17"/>
      <c r="C109" s="17"/>
      <c r="D109" s="17"/>
      <c r="E109" s="17"/>
      <c r="F109" s="108"/>
      <c r="G109" s="37" t="str">
        <f t="shared" si="2"/>
        <v/>
      </c>
      <c r="H109" s="17"/>
      <c r="I109" s="102"/>
      <c r="J109" s="102"/>
      <c r="K109" s="17"/>
      <c r="L109" s="102"/>
      <c r="M109" s="103">
        <f t="shared" si="3"/>
        <v>0</v>
      </c>
      <c r="N109" s="4"/>
    </row>
    <row r="110" spans="1:14" x14ac:dyDescent="0.35">
      <c r="A110" s="4"/>
      <c r="B110" s="4"/>
      <c r="C110" s="4"/>
      <c r="D110" s="4"/>
      <c r="E110" s="7"/>
      <c r="F110" s="4"/>
      <c r="G110" s="4"/>
      <c r="H110" s="4"/>
      <c r="I110" s="4"/>
      <c r="J110" s="4"/>
      <c r="K110" s="4"/>
      <c r="L110" s="4"/>
      <c r="M110" s="4"/>
      <c r="N110" s="4"/>
    </row>
    <row r="111" spans="1:14" x14ac:dyDescent="0.35">
      <c r="A111" s="4"/>
      <c r="B111" s="4"/>
      <c r="C111" s="4"/>
      <c r="D111" s="4"/>
      <c r="E111" s="7"/>
      <c r="F111" s="4"/>
      <c r="G111" s="4"/>
      <c r="H111" s="4"/>
      <c r="I111" s="4"/>
      <c r="J111" s="4"/>
      <c r="K111" s="4"/>
      <c r="L111" s="4"/>
      <c r="M111" s="4"/>
      <c r="N111" s="4"/>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euil9"/>
  <dimension ref="B2:B10"/>
  <sheetViews>
    <sheetView workbookViewId="0">
      <selection activeCell="M18" sqref="M18"/>
    </sheetView>
  </sheetViews>
  <sheetFormatPr baseColWidth="10" defaultRowHeight="12.75" x14ac:dyDescent="0.35"/>
  <sheetData>
    <row r="2" spans="2:2" x14ac:dyDescent="0.35">
      <c r="B2" s="123"/>
    </row>
    <row r="3" spans="2:2" x14ac:dyDescent="0.35">
      <c r="B3" s="125"/>
    </row>
    <row r="7" spans="2:2" x14ac:dyDescent="0.35">
      <c r="B7" s="124"/>
    </row>
    <row r="8" spans="2:2" x14ac:dyDescent="0.35">
      <c r="B8" s="124"/>
    </row>
    <row r="9" spans="2:2" x14ac:dyDescent="0.35">
      <c r="B9" s="124"/>
    </row>
    <row r="10" spans="2:2" x14ac:dyDescent="0.35">
      <c r="B10" s="12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11</vt:i4>
      </vt:variant>
      <vt:variant>
        <vt:lpstr>Plages nommées</vt:lpstr>
      </vt:variant>
      <vt:variant>
        <vt:i4>15</vt:i4>
      </vt:variant>
    </vt:vector>
  </HeadingPairs>
  <TitlesOfParts>
    <vt:vector size="26" baseType="lpstr">
      <vt:lpstr>Créances</vt:lpstr>
      <vt:lpstr>Facture en préparation</vt:lpstr>
      <vt:lpstr>Facture de vente</vt:lpstr>
      <vt:lpstr>Facture de procedure</vt:lpstr>
      <vt:lpstr>CI</vt:lpstr>
      <vt:lpstr>Etat Public</vt:lpstr>
      <vt:lpstr>LettreN</vt:lpstr>
      <vt:lpstr>LettreT</vt:lpstr>
      <vt:lpstr>Lettre2</vt:lpstr>
      <vt:lpstr>Lettres Phénix</vt:lpstr>
      <vt:lpstr>Infos</vt:lpstr>
      <vt:lpstr>'Facture de procedure'!Prestations</vt:lpstr>
      <vt:lpstr>'Facture de vente'!produits</vt:lpstr>
      <vt:lpstr>'Facture de vente'!puhtv</vt:lpstr>
      <vt:lpstr>'Facture de vente'!Quantitesv</vt:lpstr>
      <vt:lpstr>Lettre2!RECHERCHEV</vt:lpstr>
      <vt:lpstr>LettreN!RECHERCHEV</vt:lpstr>
      <vt:lpstr>LettreT!RECHERCHEV</vt:lpstr>
      <vt:lpstr>'Facture de procedure'!Services</vt:lpstr>
      <vt:lpstr>CI!Zone_d_impression</vt:lpstr>
      <vt:lpstr>'Facture de procedure'!Zone_d_impression</vt:lpstr>
      <vt:lpstr>'Facture de vente'!Zone_d_impression</vt:lpstr>
      <vt:lpstr>'Facture en préparation'!Zone_d_impression</vt:lpstr>
      <vt:lpstr>Lettre2!Zone_d_impression</vt:lpstr>
      <vt:lpstr>LettreN!Zone_d_impression</vt:lpstr>
      <vt:lpstr>LettreT!Zone_d_impression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2001-05-19T06:49:07Z</dcterms:created>
  <dc:creator>RAT</dc:creator>
  <cp:lastModifiedBy>gauthier beris</cp:lastModifiedBy>
  <cp:lastPrinted>2024-07-03T18:10:44Z</cp:lastPrinted>
  <dcterms:modified xsi:type="dcterms:W3CDTF">2026-04-16T09:09:49Z</dcterms:modified>
</cp:coreProperties>
</file>